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\Desktop\"/>
    </mc:Choice>
  </mc:AlternateContent>
  <xr:revisionPtr revIDLastSave="0" documentId="8_{73457203-C8DC-415D-A132-0D9B493D21D4}" xr6:coauthVersionLast="47" xr6:coauthVersionMax="47" xr10:uidLastSave="{00000000-0000-0000-0000-000000000000}"/>
  <bookViews>
    <workbookView xWindow="-108" yWindow="-108" windowWidth="23256" windowHeight="12456" xr2:uid="{67ED4AC1-1CEA-4E37-A033-234D5A43B85D}"/>
  </bookViews>
  <sheets>
    <sheet name="3.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84" i="1" l="1"/>
  <c r="V84" i="1"/>
  <c r="W84" i="1" s="1"/>
  <c r="U84" i="1"/>
  <c r="K84" i="1"/>
  <c r="J84" i="1"/>
  <c r="I84" i="1"/>
  <c r="H84" i="1" s="1"/>
  <c r="X83" i="1"/>
  <c r="V83" i="1"/>
  <c r="W83" i="1" s="1"/>
  <c r="U83" i="1"/>
  <c r="K83" i="1"/>
  <c r="J83" i="1"/>
  <c r="I83" i="1"/>
  <c r="H83" i="1"/>
  <c r="F83" i="1"/>
  <c r="O76" i="1"/>
  <c r="N76" i="1"/>
  <c r="M76" i="1"/>
  <c r="L76" i="1"/>
  <c r="K76" i="1"/>
  <c r="J76" i="1"/>
  <c r="I76" i="1"/>
  <c r="H76" i="1"/>
  <c r="G76" i="1"/>
  <c r="F76" i="1"/>
  <c r="E76" i="1"/>
  <c r="O75" i="1"/>
  <c r="N75" i="1"/>
  <c r="M75" i="1"/>
  <c r="L75" i="1"/>
  <c r="K75" i="1"/>
  <c r="J75" i="1"/>
  <c r="I75" i="1"/>
  <c r="H75" i="1"/>
  <c r="G75" i="1"/>
  <c r="F75" i="1"/>
  <c r="E75" i="1"/>
  <c r="J54" i="1"/>
  <c r="J55" i="1" s="1"/>
  <c r="I54" i="1"/>
  <c r="I55" i="1" s="1"/>
  <c r="F53" i="1"/>
  <c r="H38" i="1"/>
  <c r="G38" i="1"/>
  <c r="F38" i="1"/>
  <c r="E38" i="1"/>
  <c r="P37" i="1"/>
  <c r="O38" i="1" s="1"/>
  <c r="H37" i="1"/>
  <c r="G37" i="1"/>
  <c r="F37" i="1"/>
  <c r="E37" i="1"/>
  <c r="P36" i="1"/>
  <c r="N38" i="1" s="1"/>
  <c r="O36" i="1"/>
  <c r="N37" i="1" s="1"/>
  <c r="H36" i="1"/>
  <c r="G36" i="1"/>
  <c r="F36" i="1"/>
  <c r="E36" i="1"/>
  <c r="P35" i="1"/>
  <c r="M38" i="1" s="1"/>
  <c r="O35" i="1"/>
  <c r="M37" i="1" s="1"/>
  <c r="N35" i="1"/>
  <c r="M36" i="1" s="1"/>
  <c r="H35" i="1"/>
  <c r="G35" i="1"/>
  <c r="F35" i="1"/>
  <c r="E35" i="1"/>
  <c r="P34" i="1"/>
  <c r="L38" i="1" s="1"/>
  <c r="O34" i="1"/>
  <c r="L37" i="1" s="1"/>
  <c r="N34" i="1"/>
  <c r="L36" i="1" s="1"/>
  <c r="M34" i="1"/>
  <c r="L35" i="1" s="1"/>
  <c r="H34" i="1"/>
  <c r="G34" i="1"/>
  <c r="F34" i="1"/>
  <c r="E34" i="1"/>
  <c r="P33" i="1"/>
  <c r="K38" i="1" s="1"/>
  <c r="O33" i="1"/>
  <c r="K37" i="1" s="1"/>
  <c r="N33" i="1"/>
  <c r="K36" i="1" s="1"/>
  <c r="M33" i="1"/>
  <c r="K35" i="1" s="1"/>
  <c r="L33" i="1"/>
  <c r="K34" i="1" s="1"/>
  <c r="H33" i="1"/>
  <c r="G33" i="1"/>
  <c r="F33" i="1"/>
  <c r="E33" i="1"/>
  <c r="P32" i="1"/>
  <c r="J38" i="1" s="1"/>
  <c r="O32" i="1"/>
  <c r="J37" i="1" s="1"/>
  <c r="N32" i="1"/>
  <c r="J36" i="1" s="1"/>
  <c r="M32" i="1"/>
  <c r="J35" i="1" s="1"/>
  <c r="L32" i="1"/>
  <c r="J34" i="1" s="1"/>
  <c r="K32" i="1"/>
  <c r="J33" i="1" s="1"/>
  <c r="I32" i="1"/>
  <c r="H32" i="1"/>
  <c r="G32" i="1"/>
  <c r="F32" i="1"/>
  <c r="E32" i="1"/>
  <c r="P31" i="1"/>
  <c r="I38" i="1" s="1"/>
  <c r="O31" i="1"/>
  <c r="I37" i="1" s="1"/>
  <c r="N31" i="1"/>
  <c r="I36" i="1" s="1"/>
  <c r="M31" i="1"/>
  <c r="I35" i="1" s="1"/>
  <c r="L31" i="1"/>
  <c r="I34" i="1" s="1"/>
  <c r="K31" i="1"/>
  <c r="I33" i="1" s="1"/>
  <c r="J31" i="1"/>
  <c r="P30" i="1"/>
  <c r="O30" i="1"/>
  <c r="N30" i="1"/>
  <c r="M30" i="1"/>
  <c r="L30" i="1"/>
  <c r="K30" i="1"/>
  <c r="J30" i="1"/>
  <c r="I30" i="1"/>
  <c r="H31" i="1" s="1"/>
  <c r="P29" i="1"/>
  <c r="O29" i="1"/>
  <c r="N29" i="1"/>
  <c r="M29" i="1"/>
  <c r="L29" i="1"/>
  <c r="K29" i="1"/>
  <c r="J29" i="1"/>
  <c r="I29" i="1"/>
  <c r="G31" i="1" s="1"/>
  <c r="H29" i="1"/>
  <c r="G30" i="1" s="1"/>
  <c r="P28" i="1"/>
  <c r="O28" i="1"/>
  <c r="N28" i="1"/>
  <c r="M28" i="1"/>
  <c r="L28" i="1"/>
  <c r="K28" i="1"/>
  <c r="J28" i="1"/>
  <c r="I28" i="1"/>
  <c r="F31" i="1" s="1"/>
  <c r="H28" i="1"/>
  <c r="F30" i="1" s="1"/>
  <c r="G28" i="1"/>
  <c r="F29" i="1" s="1"/>
  <c r="P27" i="1"/>
  <c r="N27" i="1"/>
  <c r="M27" i="1"/>
  <c r="L27" i="1"/>
  <c r="K27" i="1"/>
  <c r="J27" i="1"/>
  <c r="I27" i="1"/>
  <c r="E31" i="1" s="1"/>
  <c r="H27" i="1"/>
  <c r="E30" i="1" s="1"/>
  <c r="G27" i="1"/>
  <c r="E29" i="1" s="1"/>
  <c r="F27" i="1"/>
  <c r="E28" i="1" s="1"/>
  <c r="O18" i="1"/>
  <c r="N18" i="1"/>
  <c r="M18" i="1"/>
  <c r="L18" i="1"/>
  <c r="K18" i="1"/>
  <c r="J18" i="1"/>
  <c r="I18" i="1"/>
  <c r="H18" i="1"/>
  <c r="G18" i="1"/>
  <c r="F18" i="1"/>
  <c r="E18" i="1"/>
  <c r="N17" i="1"/>
  <c r="M17" i="1"/>
  <c r="L17" i="1"/>
  <c r="K17" i="1"/>
  <c r="J17" i="1"/>
  <c r="I17" i="1"/>
  <c r="H17" i="1"/>
  <c r="G17" i="1"/>
  <c r="F17" i="1"/>
  <c r="E17" i="1"/>
  <c r="M16" i="1"/>
  <c r="L16" i="1"/>
  <c r="K16" i="1"/>
  <c r="J16" i="1"/>
  <c r="I16" i="1"/>
  <c r="H16" i="1"/>
  <c r="G16" i="1"/>
  <c r="F16" i="1"/>
  <c r="E16" i="1"/>
  <c r="L15" i="1"/>
  <c r="K15" i="1"/>
  <c r="J15" i="1"/>
  <c r="I15" i="1"/>
  <c r="H15" i="1"/>
  <c r="G15" i="1"/>
  <c r="F15" i="1"/>
  <c r="E15" i="1"/>
  <c r="K14" i="1"/>
  <c r="J14" i="1"/>
  <c r="I14" i="1"/>
  <c r="H14" i="1"/>
  <c r="G14" i="1"/>
  <c r="F14" i="1"/>
  <c r="E14" i="1"/>
  <c r="J13" i="1"/>
  <c r="I13" i="1"/>
  <c r="H13" i="1"/>
  <c r="G13" i="1"/>
  <c r="F13" i="1"/>
  <c r="E13" i="1"/>
  <c r="I12" i="1"/>
  <c r="H12" i="1"/>
  <c r="G12" i="1"/>
  <c r="F12" i="1"/>
  <c r="E12" i="1"/>
  <c r="H11" i="1"/>
  <c r="G11" i="1"/>
  <c r="F11" i="1"/>
  <c r="E11" i="1"/>
  <c r="G10" i="1"/>
  <c r="F10" i="1"/>
  <c r="E10" i="1"/>
  <c r="F9" i="1"/>
  <c r="E9" i="1"/>
  <c r="E8" i="1"/>
  <c r="G110" i="1" l="1"/>
  <c r="L109" i="1"/>
  <c r="J109" i="1"/>
  <c r="G109" i="1"/>
  <c r="J113" i="1"/>
  <c r="N112" i="1"/>
  <c r="O112" i="1"/>
  <c r="P112" i="1"/>
  <c r="E109" i="1"/>
  <c r="F109" i="1"/>
  <c r="I109" i="1"/>
  <c r="K109" i="1"/>
  <c r="H109" i="1"/>
  <c r="M109" i="1"/>
  <c r="N109" i="1"/>
  <c r="M114" i="1"/>
  <c r="O119" i="1"/>
  <c r="L114" i="1"/>
  <c r="J114" i="1"/>
  <c r="O109" i="1"/>
  <c r="P113" i="1"/>
  <c r="H112" i="1"/>
  <c r="O113" i="1"/>
  <c r="F110" i="1"/>
  <c r="H110" i="1"/>
  <c r="I110" i="1"/>
  <c r="J110" i="1"/>
  <c r="K110" i="1"/>
  <c r="L110" i="1"/>
  <c r="I112" i="1"/>
  <c r="J112" i="1"/>
  <c r="K112" i="1"/>
  <c r="L112" i="1"/>
  <c r="M110" i="1"/>
  <c r="N110" i="1"/>
  <c r="O110" i="1"/>
  <c r="P110" i="1"/>
  <c r="G111" i="1"/>
  <c r="H111" i="1"/>
  <c r="I111" i="1"/>
  <c r="M112" i="1"/>
  <c r="I113" i="1"/>
  <c r="L113" i="1"/>
  <c r="K114" i="1"/>
  <c r="M113" i="1"/>
  <c r="N113" i="1"/>
  <c r="J111" i="1"/>
  <c r="K111" i="1"/>
  <c r="L111" i="1"/>
  <c r="M111" i="1"/>
  <c r="N111" i="1"/>
  <c r="O111" i="1"/>
  <c r="P111" i="1"/>
  <c r="K113" i="1"/>
  <c r="M117" i="1"/>
  <c r="N114" i="1"/>
  <c r="O114" i="1"/>
  <c r="P109" i="1"/>
  <c r="K115" i="1"/>
  <c r="L115" i="1"/>
  <c r="M115" i="1"/>
  <c r="N115" i="1"/>
  <c r="O115" i="1"/>
  <c r="P115" i="1"/>
  <c r="L116" i="1"/>
  <c r="P120" i="1"/>
  <c r="M116" i="1"/>
  <c r="P114" i="1"/>
  <c r="O116" i="1"/>
  <c r="P116" i="1"/>
  <c r="N117" i="1"/>
  <c r="O117" i="1"/>
  <c r="P117" i="1"/>
  <c r="N118" i="1"/>
  <c r="O118" i="1"/>
  <c r="P118" i="1"/>
  <c r="P119" i="1"/>
  <c r="N116" i="1"/>
  <c r="K96" i="1"/>
  <c r="J96" i="1"/>
  <c r="P95" i="1"/>
  <c r="O95" i="1"/>
  <c r="N95" i="1"/>
  <c r="M95" i="1"/>
  <c r="K95" i="1"/>
  <c r="J95" i="1"/>
  <c r="I95" i="1"/>
  <c r="N96" i="1"/>
  <c r="O94" i="1"/>
  <c r="N94" i="1"/>
  <c r="M94" i="1"/>
  <c r="L94" i="1"/>
  <c r="K94" i="1"/>
  <c r="J94" i="1"/>
  <c r="I94" i="1"/>
  <c r="H94" i="1"/>
  <c r="P93" i="1"/>
  <c r="O93" i="1"/>
  <c r="N93" i="1"/>
  <c r="M93" i="1"/>
  <c r="L93" i="1"/>
  <c r="K93" i="1"/>
  <c r="J93" i="1"/>
  <c r="I93" i="1"/>
  <c r="H93" i="1"/>
  <c r="G93" i="1"/>
  <c r="P94" i="1"/>
  <c r="P92" i="1"/>
  <c r="O92" i="1"/>
  <c r="N92" i="1"/>
  <c r="M92" i="1"/>
  <c r="L92" i="1"/>
  <c r="K92" i="1"/>
  <c r="J92" i="1"/>
  <c r="I92" i="1"/>
  <c r="H92" i="1"/>
  <c r="G92" i="1"/>
  <c r="P91" i="1"/>
  <c r="O91" i="1"/>
  <c r="N91" i="1"/>
  <c r="M91" i="1"/>
  <c r="L91" i="1"/>
  <c r="K91" i="1"/>
  <c r="J91" i="1"/>
  <c r="I91" i="1"/>
  <c r="H91" i="1"/>
  <c r="P102" i="1"/>
  <c r="F91" i="1"/>
  <c r="E91" i="1"/>
  <c r="P100" i="1"/>
  <c r="O101" i="1"/>
  <c r="P101" i="1"/>
  <c r="O100" i="1"/>
  <c r="L95" i="1"/>
  <c r="P99" i="1"/>
  <c r="O99" i="1"/>
  <c r="N99" i="1"/>
  <c r="M99" i="1"/>
  <c r="F92" i="1"/>
  <c r="P98" i="1"/>
  <c r="O98" i="1"/>
  <c r="N98" i="1"/>
  <c r="M98" i="1"/>
  <c r="L98" i="1"/>
  <c r="P97" i="1"/>
  <c r="O97" i="1"/>
  <c r="G91" i="1"/>
  <c r="N97" i="1"/>
  <c r="M97" i="1"/>
  <c r="L97" i="1"/>
  <c r="K97" i="1"/>
  <c r="P96" i="1"/>
  <c r="O96" i="1"/>
  <c r="M96" i="1"/>
  <c r="N100" i="1"/>
  <c r="L96" i="1"/>
  <c r="E46" i="1"/>
  <c r="E51" i="1" s="1"/>
  <c r="E63" i="1" s="1"/>
  <c r="F46" i="1"/>
  <c r="F51" i="1" s="1"/>
  <c r="F63" i="1" s="1"/>
  <c r="G46" i="1"/>
  <c r="G51" i="1" s="1"/>
  <c r="G63" i="1" s="1"/>
  <c r="H46" i="1"/>
  <c r="H51" i="1" s="1"/>
  <c r="H63" i="1" s="1"/>
  <c r="I46" i="1"/>
  <c r="I51" i="1" s="1"/>
  <c r="I63" i="1" s="1"/>
  <c r="J46" i="1"/>
  <c r="J51" i="1" s="1"/>
  <c r="J63" i="1" s="1"/>
  <c r="K46" i="1"/>
  <c r="K51" i="1" s="1"/>
  <c r="K63" i="1" s="1"/>
  <c r="L46" i="1"/>
  <c r="L51" i="1" s="1"/>
  <c r="L63" i="1" s="1"/>
  <c r="M46" i="1"/>
  <c r="M51" i="1" s="1"/>
  <c r="M63" i="1" s="1"/>
  <c r="N46" i="1"/>
  <c r="N51" i="1" s="1"/>
  <c r="N63" i="1" s="1"/>
  <c r="O46" i="1"/>
  <c r="O51" i="1" s="1"/>
  <c r="O63" i="1" s="1"/>
  <c r="F45" i="1"/>
  <c r="E45" i="1"/>
  <c r="G45" i="1"/>
  <c r="H45" i="1"/>
  <c r="I45" i="1"/>
  <c r="J45" i="1"/>
  <c r="K45" i="1"/>
  <c r="L45" i="1"/>
  <c r="M45" i="1"/>
  <c r="N45" i="1"/>
  <c r="O45" i="1"/>
  <c r="O102" i="1"/>
  <c r="O120" i="1"/>
  <c r="N102" i="1"/>
  <c r="N120" i="1"/>
  <c r="M102" i="1"/>
  <c r="M120" i="1"/>
  <c r="L120" i="1"/>
  <c r="L102" i="1"/>
  <c r="K120" i="1"/>
  <c r="K102" i="1"/>
  <c r="J120" i="1"/>
  <c r="J102" i="1"/>
  <c r="I120" i="1"/>
  <c r="I102" i="1"/>
  <c r="H120" i="1"/>
  <c r="H102" i="1"/>
  <c r="G120" i="1"/>
  <c r="G102" i="1"/>
  <c r="F120" i="1"/>
  <c r="F102" i="1"/>
  <c r="E120" i="1"/>
  <c r="E102" i="1"/>
  <c r="N101" i="1"/>
  <c r="N119" i="1"/>
  <c r="M101" i="1"/>
  <c r="M119" i="1"/>
  <c r="L119" i="1"/>
  <c r="L101" i="1"/>
  <c r="K101" i="1"/>
  <c r="K119" i="1"/>
  <c r="J119" i="1"/>
  <c r="J101" i="1"/>
  <c r="I119" i="1"/>
  <c r="I101" i="1"/>
  <c r="H101" i="1"/>
  <c r="H119" i="1"/>
  <c r="G101" i="1"/>
  <c r="G119" i="1"/>
  <c r="F119" i="1"/>
  <c r="F101" i="1"/>
  <c r="E119" i="1"/>
  <c r="E101" i="1"/>
  <c r="M118" i="1"/>
  <c r="M100" i="1"/>
  <c r="L118" i="1"/>
  <c r="L100" i="1"/>
  <c r="K100" i="1"/>
  <c r="K118" i="1"/>
  <c r="J118" i="1"/>
  <c r="J100" i="1"/>
  <c r="I118" i="1"/>
  <c r="I100" i="1"/>
  <c r="H118" i="1"/>
  <c r="H100" i="1"/>
  <c r="G118" i="1"/>
  <c r="G100" i="1"/>
  <c r="F118" i="1"/>
  <c r="F100" i="1"/>
  <c r="E118" i="1"/>
  <c r="E100" i="1"/>
  <c r="L117" i="1"/>
  <c r="L99" i="1"/>
  <c r="K117" i="1"/>
  <c r="K99" i="1"/>
  <c r="J117" i="1"/>
  <c r="J99" i="1"/>
  <c r="I117" i="1"/>
  <c r="I99" i="1"/>
  <c r="H117" i="1"/>
  <c r="H99" i="1"/>
  <c r="G99" i="1"/>
  <c r="G117" i="1"/>
  <c r="F99" i="1"/>
  <c r="F117" i="1"/>
  <c r="E99" i="1"/>
  <c r="E117" i="1"/>
  <c r="K98" i="1"/>
  <c r="K116" i="1"/>
  <c r="J98" i="1"/>
  <c r="J116" i="1"/>
  <c r="I98" i="1"/>
  <c r="I116" i="1"/>
  <c r="H98" i="1"/>
  <c r="H116" i="1"/>
  <c r="G98" i="1"/>
  <c r="G116" i="1"/>
  <c r="F116" i="1"/>
  <c r="F98" i="1"/>
  <c r="E98" i="1"/>
  <c r="E116" i="1"/>
  <c r="J115" i="1"/>
  <c r="J97" i="1"/>
  <c r="I115" i="1"/>
  <c r="I97" i="1"/>
  <c r="H115" i="1"/>
  <c r="H97" i="1"/>
  <c r="G115" i="1"/>
  <c r="G97" i="1"/>
  <c r="F97" i="1"/>
  <c r="F115" i="1"/>
  <c r="E115" i="1"/>
  <c r="E97" i="1"/>
  <c r="I114" i="1"/>
  <c r="I96" i="1"/>
  <c r="H114" i="1"/>
  <c r="H96" i="1"/>
  <c r="G114" i="1"/>
  <c r="G96" i="1"/>
  <c r="F114" i="1"/>
  <c r="F96" i="1"/>
  <c r="E96" i="1"/>
  <c r="E114" i="1"/>
  <c r="H95" i="1"/>
  <c r="H113" i="1"/>
  <c r="G95" i="1"/>
  <c r="G113" i="1"/>
  <c r="F95" i="1"/>
  <c r="F113" i="1"/>
  <c r="E95" i="1"/>
  <c r="E113" i="1"/>
  <c r="G94" i="1"/>
  <c r="G112" i="1"/>
  <c r="F112" i="1"/>
  <c r="F94" i="1"/>
  <c r="E94" i="1"/>
  <c r="E112" i="1"/>
  <c r="F93" i="1"/>
  <c r="F111" i="1"/>
  <c r="E111" i="1"/>
  <c r="E93" i="1"/>
  <c r="E92" i="1"/>
  <c r="E110" i="1"/>
  <c r="F47" i="1" l="1"/>
  <c r="F48" i="1" s="1"/>
  <c r="F49" i="1" s="1"/>
  <c r="F50" i="1"/>
  <c r="F62" i="1" s="1"/>
  <c r="F64" i="1" s="1"/>
  <c r="E47" i="1"/>
  <c r="E48" i="1" s="1"/>
  <c r="E49" i="1" s="1"/>
  <c r="E50" i="1"/>
  <c r="E62" i="1" s="1"/>
  <c r="E64" i="1" s="1"/>
  <c r="G47" i="1"/>
  <c r="G48" i="1" s="1"/>
  <c r="G49" i="1" s="1"/>
  <c r="G50" i="1"/>
  <c r="G62" i="1" s="1"/>
  <c r="G64" i="1" s="1"/>
  <c r="H47" i="1"/>
  <c r="H48" i="1" s="1"/>
  <c r="H49" i="1" s="1"/>
  <c r="H50" i="1"/>
  <c r="H62" i="1" s="1"/>
  <c r="H64" i="1" s="1"/>
  <c r="I47" i="1"/>
  <c r="I48" i="1" s="1"/>
  <c r="I49" i="1" s="1"/>
  <c r="I50" i="1"/>
  <c r="I62" i="1" s="1"/>
  <c r="I64" i="1" s="1"/>
  <c r="J47" i="1"/>
  <c r="J48" i="1" s="1"/>
  <c r="J49" i="1" s="1"/>
  <c r="J50" i="1"/>
  <c r="J62" i="1" s="1"/>
  <c r="J64" i="1" s="1"/>
  <c r="K47" i="1"/>
  <c r="K48" i="1" s="1"/>
  <c r="K49" i="1" s="1"/>
  <c r="K50" i="1"/>
  <c r="K62" i="1" s="1"/>
  <c r="K64" i="1" s="1"/>
  <c r="L47" i="1"/>
  <c r="L48" i="1" s="1"/>
  <c r="L49" i="1" s="1"/>
  <c r="L50" i="1"/>
  <c r="L62" i="1" s="1"/>
  <c r="L64" i="1" s="1"/>
  <c r="M47" i="1"/>
  <c r="M48" i="1" s="1"/>
  <c r="M49" i="1" s="1"/>
  <c r="M50" i="1"/>
  <c r="M62" i="1" s="1"/>
  <c r="M64" i="1" s="1"/>
  <c r="N47" i="1"/>
  <c r="N48" i="1" s="1"/>
  <c r="N49" i="1" s="1"/>
  <c r="N50" i="1"/>
  <c r="N62" i="1" s="1"/>
  <c r="N64" i="1" s="1"/>
  <c r="O47" i="1"/>
  <c r="O48" i="1" s="1"/>
  <c r="O49" i="1" s="1"/>
  <c r="O50" i="1"/>
  <c r="O62" i="1" s="1"/>
  <c r="O6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Nuno Mesquita</author>
  </authors>
  <commentList>
    <comment ref="U81" authorId="0" shapeId="0" xr:uid="{1CB344E9-64E1-4A77-BD12-FF0AB60B92E5}">
      <text>
        <r>
          <rPr>
            <sz val="9"/>
            <color indexed="81"/>
            <rFont val="Tahoma"/>
            <family val="2"/>
          </rPr>
          <t>Considerado autonomia 90% do tanque</t>
        </r>
      </text>
    </comment>
  </commentList>
</comments>
</file>

<file path=xl/sharedStrings.xml><?xml version="1.0" encoding="utf-8"?>
<sst xmlns="http://schemas.openxmlformats.org/spreadsheetml/2006/main" count="218" uniqueCount="81">
  <si>
    <t>Distâncias entre Clientes e Centro de Distribuição de Espanha</t>
  </si>
  <si>
    <t>41.3300,-1.2200</t>
  </si>
  <si>
    <t>39.2577,-7.9310</t>
  </si>
  <si>
    <t>37.4545,-7.8724</t>
  </si>
  <si>
    <t>40.2112,-8.4101</t>
  </si>
  <si>
    <t>40.9285,-8.5484</t>
  </si>
  <si>
    <t>41.7546,-7.4734</t>
  </si>
  <si>
    <t>41.8081,-6.7676</t>
  </si>
  <si>
    <t>43.3637,-5.8489</t>
  </si>
  <si>
    <t>39.8682,-4.0266</t>
  </si>
  <si>
    <t>39.4767,-0.3759</t>
  </si>
  <si>
    <t>41.6525,-0.8890</t>
  </si>
  <si>
    <t>41.3906,2.1721</t>
  </si>
  <si>
    <t>Distância (km)</t>
  </si>
  <si>
    <t>id</t>
  </si>
  <si>
    <t>Espanha - Saragoça</t>
  </si>
  <si>
    <t>Évora</t>
  </si>
  <si>
    <t>Faro</t>
  </si>
  <si>
    <t>Coimbra</t>
  </si>
  <si>
    <t>Santa Maria da Feira</t>
  </si>
  <si>
    <t>Chaves</t>
  </si>
  <si>
    <t>Bragança</t>
  </si>
  <si>
    <t>Oviedo</t>
  </si>
  <si>
    <t>Toledo</t>
  </si>
  <si>
    <t>Valência</t>
  </si>
  <si>
    <t>Saragoça</t>
  </si>
  <si>
    <t>Barcelona</t>
  </si>
  <si>
    <t>Pressupostos:</t>
  </si>
  <si>
    <t>As distâncias (km) foram obtidas através do Google Maps. Foi tida em conta a distância real sem portagens (para não acrescer custo).</t>
  </si>
  <si>
    <t>Tempo percorrido entre Clientes e Centro de Distribuição de Espanha</t>
  </si>
  <si>
    <t>Tempo (min)</t>
  </si>
  <si>
    <t>Procura Diária do Produto A e B dos Clientes</t>
  </si>
  <si>
    <t>Procura</t>
  </si>
  <si>
    <t>Produto A (Kg)</t>
  </si>
  <si>
    <t>Produto B (Kg)</t>
  </si>
  <si>
    <t>Total Diário (Kg)</t>
  </si>
  <si>
    <t>Total Mensal (Kg)</t>
  </si>
  <si>
    <t>Total Anual (Kg)</t>
  </si>
  <si>
    <t>Nº Paletes do Produto A</t>
  </si>
  <si>
    <t>Nº Paletes do Produto B</t>
  </si>
  <si>
    <t>Dias/ano</t>
  </si>
  <si>
    <t>Produto A</t>
  </si>
  <si>
    <t>Produto B</t>
  </si>
  <si>
    <t>Peso Paletes</t>
  </si>
  <si>
    <t>Proporção Peso</t>
  </si>
  <si>
    <t>Tempo de Serviço em cada Cliente</t>
  </si>
  <si>
    <t>Tempo de Serviço (min)</t>
  </si>
  <si>
    <t>Total</t>
  </si>
  <si>
    <t>Nº Caixas/Palete do Produto A:</t>
  </si>
  <si>
    <t>Nº Caixas/Palete do Produto B:</t>
  </si>
  <si>
    <t>Tempo de Descarregamento por Palete (min):</t>
  </si>
  <si>
    <t>Janelas Temporais de cada Cliente</t>
  </si>
  <si>
    <t>Hora de Inicio</t>
  </si>
  <si>
    <t>Hora de Fim</t>
  </si>
  <si>
    <t>Informações do Veículo</t>
  </si>
  <si>
    <t>Veículos</t>
  </si>
  <si>
    <t>Consumo
(L/Km)</t>
  </si>
  <si>
    <t>Capacidade 
(kg)</t>
  </si>
  <si>
    <t>Capacidade de Paletes (un.)</t>
  </si>
  <si>
    <t>Volume 
(m3)</t>
  </si>
  <si>
    <t>Largura
(mm)</t>
  </si>
  <si>
    <t>Comprimento 
(mm)</t>
  </si>
  <si>
    <t>Altura 
(mm)</t>
  </si>
  <si>
    <t>Capacidade do Depósito de Combustível (l)</t>
  </si>
  <si>
    <t>Custos Anuais Fixos 
(€)</t>
  </si>
  <si>
    <t>Custo Licença Anual 
(€)</t>
  </si>
  <si>
    <t>Custo Seguro Anual 
(€)</t>
  </si>
  <si>
    <t>Custo Depreciação Anual 
(€)</t>
  </si>
  <si>
    <t>Outros Custos Anuais
(€)</t>
  </si>
  <si>
    <t>Custos RH Anual 
(€)</t>
  </si>
  <si>
    <t>Pneus 
(€/Km)</t>
  </si>
  <si>
    <t>Manutenção 
(€/Km)</t>
  </si>
  <si>
    <t>Autonomia (Km)</t>
  </si>
  <si>
    <t>Custos Fixos Anuais (€)</t>
  </si>
  <si>
    <t>Custos Fixos Diários (€)</t>
  </si>
  <si>
    <t>Custos Variáveis Diários (€)</t>
  </si>
  <si>
    <t xml:space="preserve">55 m³ </t>
  </si>
  <si>
    <t>Semi-Reboque Normal</t>
  </si>
  <si>
    <t xml:space="preserve">Nº Reabastecimentos - Camião 55 m³ </t>
  </si>
  <si>
    <t>Camião 55 m³</t>
  </si>
  <si>
    <t>Nº reabastecimentos - Semi-Reboque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</si>
</sst>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2"/>
      <color theme="1"/>
      <name val="Ubuntu Mono"/>
      <family val="3"/>
    </font>
    <font>
      <b/>
      <sz val="18"/>
      <color theme="1"/>
      <name val="Ubuntu Mono"/>
      <family val="3"/>
    </font>
    <font>
      <b/>
      <sz val="12"/>
      <color rgb="FFFF0000"/>
      <name val="Ubuntu Mono"/>
      <family val="3"/>
    </font>
    <font>
      <b/>
      <sz val="12"/>
      <color theme="0"/>
      <name val="Ubuntu Mono"/>
      <family val="3"/>
    </font>
    <font>
      <b/>
      <sz val="12"/>
      <name val="Ubuntu Mono"/>
      <family val="3"/>
    </font>
    <font>
      <b/>
      <sz val="12"/>
      <color theme="1"/>
      <name val="Ubuntu Mono"/>
      <family val="3"/>
    </font>
    <font>
      <b/>
      <sz val="12"/>
      <color theme="1"/>
      <name val="Ubuntu Mono"/>
    </font>
    <font>
      <b/>
      <sz val="18"/>
      <name val="Ubuntu Mono"/>
      <family val="3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EF8D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/>
    </xf>
    <xf numFmtId="0" fontId="3" fillId="4" borderId="6" xfId="0" applyFont="1" applyFill="1" applyBorder="1"/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center"/>
    </xf>
    <xf numFmtId="164" fontId="3" fillId="4" borderId="8" xfId="0" applyNumberFormat="1" applyFont="1" applyFill="1" applyBorder="1" applyAlignment="1">
      <alignment horizontal="center"/>
    </xf>
    <xf numFmtId="1" fontId="3" fillId="4" borderId="7" xfId="0" applyNumberFormat="1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1" fontId="3" fillId="4" borderId="9" xfId="0" applyNumberFormat="1" applyFont="1" applyFill="1" applyBorder="1" applyAlignment="1">
      <alignment horizontal="center"/>
    </xf>
    <xf numFmtId="164" fontId="3" fillId="4" borderId="9" xfId="0" applyNumberFormat="1" applyFont="1" applyFill="1" applyBorder="1" applyAlignment="1">
      <alignment horizontal="center"/>
    </xf>
    <xf numFmtId="0" fontId="3" fillId="4" borderId="10" xfId="0" applyFont="1" applyFill="1" applyBorder="1"/>
    <xf numFmtId="0" fontId="3" fillId="4" borderId="11" xfId="0" applyFont="1" applyFill="1" applyBorder="1" applyAlignment="1">
      <alignment horizontal="center"/>
    </xf>
    <xf numFmtId="1" fontId="3" fillId="4" borderId="12" xfId="0" applyNumberFormat="1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1" fontId="3" fillId="4" borderId="13" xfId="0" applyNumberFormat="1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 wrapText="1"/>
    </xf>
    <xf numFmtId="0" fontId="9" fillId="3" borderId="5" xfId="0" applyFont="1" applyFill="1" applyBorder="1" applyAlignment="1">
      <alignment horizontal="center"/>
    </xf>
    <xf numFmtId="0" fontId="3" fillId="4" borderId="3" xfId="0" applyFont="1" applyFill="1" applyBorder="1"/>
    <xf numFmtId="0" fontId="10" fillId="0" borderId="0" xfId="0" applyFont="1" applyAlignment="1">
      <alignment vertical="center"/>
    </xf>
    <xf numFmtId="0" fontId="6" fillId="2" borderId="1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1" fontId="3" fillId="4" borderId="6" xfId="0" applyNumberFormat="1" applyFont="1" applyFill="1" applyBorder="1" applyAlignment="1">
      <alignment horizontal="center"/>
    </xf>
    <xf numFmtId="1" fontId="3" fillId="4" borderId="16" xfId="0" applyNumberFormat="1" applyFont="1" applyFill="1" applyBorder="1" applyAlignment="1">
      <alignment horizontal="center"/>
    </xf>
    <xf numFmtId="1" fontId="3" fillId="4" borderId="15" xfId="0" applyNumberFormat="1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1" fontId="3" fillId="4" borderId="11" xfId="0" applyNumberFormat="1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 vertical="center"/>
    </xf>
    <xf numFmtId="1" fontId="3" fillId="5" borderId="3" xfId="0" applyNumberFormat="1" applyFont="1" applyFill="1" applyBorder="1" applyAlignment="1">
      <alignment horizontal="center" vertical="center"/>
    </xf>
    <xf numFmtId="1" fontId="3" fillId="5" borderId="18" xfId="0" applyNumberFormat="1" applyFont="1" applyFill="1" applyBorder="1" applyAlignment="1">
      <alignment horizontal="center" vertical="center"/>
    </xf>
    <xf numFmtId="1" fontId="3" fillId="5" borderId="19" xfId="0" applyNumberFormat="1" applyFont="1" applyFill="1" applyBorder="1" applyAlignment="1">
      <alignment horizontal="center" vertical="center"/>
    </xf>
    <xf numFmtId="1" fontId="3" fillId="5" borderId="20" xfId="0" applyNumberFormat="1" applyFont="1" applyFill="1" applyBorder="1" applyAlignment="1">
      <alignment horizontal="center" vertical="center"/>
    </xf>
    <xf numFmtId="1" fontId="3" fillId="5" borderId="21" xfId="0" applyNumberFormat="1" applyFont="1" applyFill="1" applyBorder="1" applyAlignment="1">
      <alignment horizontal="center" vertical="center"/>
    </xf>
    <xf numFmtId="1" fontId="3" fillId="5" borderId="15" xfId="0" applyNumberFormat="1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/>
    </xf>
    <xf numFmtId="1" fontId="3" fillId="5" borderId="8" xfId="0" applyNumberFormat="1" applyFont="1" applyFill="1" applyBorder="1" applyAlignment="1">
      <alignment horizontal="center" vertical="center"/>
    </xf>
    <xf numFmtId="1" fontId="3" fillId="5" borderId="0" xfId="0" applyNumberFormat="1" applyFont="1" applyFill="1" applyAlignment="1">
      <alignment horizontal="center" vertical="center"/>
    </xf>
    <xf numFmtId="1" fontId="3" fillId="5" borderId="9" xfId="0" applyNumberFormat="1" applyFont="1" applyFill="1" applyBorder="1" applyAlignment="1">
      <alignment horizontal="center" vertical="center"/>
    </xf>
    <xf numFmtId="1" fontId="3" fillId="5" borderId="16" xfId="0" applyNumberFormat="1" applyFont="1" applyFill="1" applyBorder="1" applyAlignment="1">
      <alignment horizontal="center" vertical="center"/>
    </xf>
    <xf numFmtId="1" fontId="3" fillId="5" borderId="7" xfId="0" applyNumberFormat="1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1" fontId="3" fillId="5" borderId="10" xfId="0" applyNumberFormat="1" applyFont="1" applyFill="1" applyBorder="1" applyAlignment="1">
      <alignment horizontal="center" vertical="center"/>
    </xf>
    <xf numFmtId="1" fontId="3" fillId="5" borderId="13" xfId="0" applyNumberFormat="1" applyFont="1" applyFill="1" applyBorder="1" applyAlignment="1">
      <alignment horizontal="center" vertical="center"/>
    </xf>
    <xf numFmtId="1" fontId="3" fillId="5" borderId="25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1" fontId="3" fillId="5" borderId="11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" fontId="3" fillId="5" borderId="14" xfId="0" applyNumberFormat="1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1" fontId="3" fillId="5" borderId="24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" fontId="3" fillId="6" borderId="0" xfId="1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vertical="center"/>
    </xf>
    <xf numFmtId="9" fontId="3" fillId="6" borderId="0" xfId="1" applyFont="1" applyFill="1" applyAlignment="1">
      <alignment horizontal="center" vertical="center"/>
    </xf>
    <xf numFmtId="9" fontId="3" fillId="0" borderId="0" xfId="1" applyFont="1" applyFill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center"/>
    </xf>
    <xf numFmtId="1" fontId="3" fillId="4" borderId="25" xfId="0" applyNumberFormat="1" applyFont="1" applyFill="1" applyBorder="1" applyAlignment="1">
      <alignment horizontal="center"/>
    </xf>
    <xf numFmtId="0" fontId="8" fillId="3" borderId="28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" fontId="3" fillId="5" borderId="29" xfId="0" applyNumberFormat="1" applyFont="1" applyFill="1" applyBorder="1" applyAlignment="1">
      <alignment horizontal="center" vertical="center"/>
    </xf>
    <xf numFmtId="1" fontId="3" fillId="5" borderId="30" xfId="0" applyNumberFormat="1" applyFont="1" applyFill="1" applyBorder="1" applyAlignment="1">
      <alignment horizontal="center" vertical="center"/>
    </xf>
    <xf numFmtId="1" fontId="3" fillId="5" borderId="31" xfId="0" applyNumberFormat="1" applyFont="1" applyFill="1" applyBorder="1" applyAlignment="1">
      <alignment horizontal="center" vertical="center"/>
    </xf>
    <xf numFmtId="1" fontId="3" fillId="5" borderId="32" xfId="0" applyNumberFormat="1" applyFont="1" applyFill="1" applyBorder="1" applyAlignment="1">
      <alignment horizontal="center" vertical="center"/>
    </xf>
    <xf numFmtId="0" fontId="3" fillId="6" borderId="0" xfId="1" applyNumberFormat="1" applyFont="1" applyFill="1" applyAlignment="1">
      <alignment horizontal="center" vertical="center"/>
    </xf>
    <xf numFmtId="0" fontId="8" fillId="3" borderId="2" xfId="0" applyFont="1" applyFill="1" applyBorder="1" applyAlignment="1">
      <alignment horizontal="right" vertical="center" wrapText="1"/>
    </xf>
    <xf numFmtId="0" fontId="7" fillId="3" borderId="26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right" vertical="center"/>
    </xf>
    <xf numFmtId="0" fontId="8" fillId="3" borderId="26" xfId="0" applyFont="1" applyFill="1" applyBorder="1" applyAlignment="1">
      <alignment horizontal="right" vertical="center" wrapText="1"/>
    </xf>
    <xf numFmtId="0" fontId="3" fillId="4" borderId="27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0" xfId="0" applyFill="1" applyAlignment="1">
      <alignment horizontal="center"/>
    </xf>
    <xf numFmtId="1" fontId="0" fillId="7" borderId="19" xfId="0" applyNumberFormat="1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1" fontId="0" fillId="4" borderId="23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3" fillId="4" borderId="24" xfId="0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0" fillId="7" borderId="13" xfId="0" applyNumberFormat="1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" fontId="0" fillId="4" borderId="26" xfId="0" applyNumberFormat="1" applyFill="1" applyBorder="1" applyAlignment="1">
      <alignment horizontal="center"/>
    </xf>
    <xf numFmtId="2" fontId="0" fillId="4" borderId="26" xfId="0" applyNumberFormat="1" applyFill="1" applyBorder="1" applyAlignment="1">
      <alignment horizontal="center"/>
    </xf>
    <xf numFmtId="0" fontId="7" fillId="3" borderId="1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0" fontId="3" fillId="4" borderId="25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26" xfId="0" applyFont="1" applyFill="1" applyBorder="1" applyAlignment="1">
      <alignment horizontal="center"/>
    </xf>
    <xf numFmtId="0" fontId="8" fillId="0" borderId="0" xfId="0" applyFont="1" applyAlignment="1">
      <alignment vertical="center"/>
    </xf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1501140</xdr:colOff>
          <xdr:row>0</xdr:row>
          <xdr:rowOff>99060</xdr:rowOff>
        </xdr:from>
        <xdr:to>
          <xdr:col>9</xdr:col>
          <xdr:colOff>7620</xdr:colOff>
          <xdr:row>2</xdr:row>
          <xdr:rowOff>45720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5698F6A3-9679-48CA-821A-A01D45F63A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PT" sz="1100" b="0" i="0" u="none" strike="noStrike" baseline="0">
                  <a:solidFill>
                    <a:srgbClr val="000000"/>
                  </a:solidFill>
                  <a:latin typeface="Aptos Narrow"/>
                </a:rPr>
                <a:t>Voltar Atrás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isepipp-my.sharepoint.com/personal/1201130_isep_ipp_pt/Documents/Mestrado/2&#186;%20Semestre/LOGCA/Localizac&#807;a&#771;o_insta&#770;ncias_VBA.xlsm" TargetMode="External"/><Relationship Id="rId1" Type="http://schemas.openxmlformats.org/officeDocument/2006/relationships/externalLinkPath" Target="https://myisepipp-my.sharepoint.com/personal/1201130_isep_ipp_pt/Documents/Mestrado/2&#186;%20Semestre/LOGCA/Localizac&#807;a&#771;o_insta&#770;ncias_VB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0. DADOS"/>
      <sheetName val="1.1. PORTUGAL"/>
      <sheetName val="1.1. ESPANHA"/>
      <sheetName val="1.1. FRANÇA"/>
      <sheetName val="1.1. ITÁLIA"/>
      <sheetName val="ESPANHA_OLD"/>
      <sheetName val="FRANÇA_OLD"/>
      <sheetName val="ITÁLIA_OLD"/>
      <sheetName val="1.1. ALEMANHA"/>
      <sheetName val="ALEMANHA_OLD"/>
      <sheetName val="1.2. REDE  1.3. INSTÂNCIAS"/>
      <sheetName val="2.1. PRODUTO A"/>
      <sheetName val="2.1. PRODUTO B"/>
      <sheetName val="2.1. PALETES"/>
      <sheetName val="2.2. DIMENSIONAMENTO ARMAZÉM"/>
      <sheetName val="2.3. LAYOUT ARMAZÉM"/>
      <sheetName val="3."/>
    </sheetNames>
    <definedNames>
      <definedName name="BotãoVoltar_Click"/>
    </definedNames>
    <sheetDataSet>
      <sheetData sheetId="0"/>
      <sheetData sheetId="1">
        <row r="7">
          <cell r="K7">
            <v>30</v>
          </cell>
          <cell r="L7">
            <v>0.375</v>
          </cell>
          <cell r="M7">
            <v>0.45833333333333331</v>
          </cell>
        </row>
        <row r="8">
          <cell r="K8">
            <v>40</v>
          </cell>
          <cell r="L8">
            <v>0.58333333333333337</v>
          </cell>
          <cell r="M8">
            <v>0.66666666666666674</v>
          </cell>
        </row>
        <row r="9">
          <cell r="K9">
            <v>50</v>
          </cell>
          <cell r="L9">
            <v>0.66666666666666663</v>
          </cell>
          <cell r="M9">
            <v>0.75</v>
          </cell>
        </row>
        <row r="10">
          <cell r="K10">
            <v>20</v>
          </cell>
          <cell r="L10">
            <v>0.41666666666666669</v>
          </cell>
          <cell r="M10">
            <v>0.5</v>
          </cell>
        </row>
        <row r="11">
          <cell r="K11">
            <v>30</v>
          </cell>
          <cell r="L11">
            <v>0.41666666666666669</v>
          </cell>
          <cell r="M11">
            <v>0.5</v>
          </cell>
        </row>
        <row r="12">
          <cell r="K12">
            <v>10</v>
          </cell>
          <cell r="L12">
            <v>0.45833333333333331</v>
          </cell>
          <cell r="M12">
            <v>0.54166666666666663</v>
          </cell>
        </row>
        <row r="13">
          <cell r="K13">
            <v>25</v>
          </cell>
          <cell r="L13">
            <v>0.33333333333333331</v>
          </cell>
          <cell r="M13">
            <v>0.41666666666666669</v>
          </cell>
        </row>
        <row r="14">
          <cell r="K14">
            <v>25</v>
          </cell>
          <cell r="L14">
            <v>0.625</v>
          </cell>
          <cell r="M14">
            <v>0.70833333333333337</v>
          </cell>
        </row>
        <row r="15">
          <cell r="K15">
            <v>75</v>
          </cell>
          <cell r="L15">
            <v>0.66666666666666663</v>
          </cell>
          <cell r="M15">
            <v>0.75</v>
          </cell>
        </row>
        <row r="16">
          <cell r="K16">
            <v>75</v>
          </cell>
          <cell r="L16">
            <v>0.41666666666666669</v>
          </cell>
          <cell r="M16">
            <v>0.5</v>
          </cell>
        </row>
        <row r="17">
          <cell r="K17">
            <v>100</v>
          </cell>
          <cell r="L17">
            <v>0.66666666666666663</v>
          </cell>
          <cell r="M17">
            <v>0.75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13">
          <cell r="D113">
            <v>453221.53273639898</v>
          </cell>
        </row>
      </sheetData>
      <sheetData sheetId="13">
        <row r="113">
          <cell r="D113">
            <v>119127.39068787276</v>
          </cell>
        </row>
      </sheetData>
      <sheetData sheetId="14">
        <row r="5">
          <cell r="F5">
            <v>20</v>
          </cell>
        </row>
        <row r="6">
          <cell r="F6">
            <v>14</v>
          </cell>
        </row>
      </sheetData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D0A8D-EB54-4A75-B574-510BEE76C38F}">
  <sheetPr codeName="Folha18"/>
  <dimension ref="B1:X134"/>
  <sheetViews>
    <sheetView showGridLines="0" tabSelected="1" topLeftCell="A58" zoomScale="52" zoomScaleNormal="130" workbookViewId="0">
      <selection activeCell="O81" sqref="O81:O82"/>
    </sheetView>
  </sheetViews>
  <sheetFormatPr defaultColWidth="8.6640625" defaultRowHeight="15" x14ac:dyDescent="0.3"/>
  <cols>
    <col min="1" max="1" width="1.6640625" style="1" customWidth="1"/>
    <col min="2" max="2" width="21.109375" style="1" hidden="1" customWidth="1"/>
    <col min="3" max="3" width="23.6640625" style="1" customWidth="1"/>
    <col min="4" max="4" width="5.44140625" style="1" customWidth="1"/>
    <col min="5" max="5" width="21.33203125" style="1" bestFit="1" customWidth="1"/>
    <col min="6" max="6" width="17.88671875" style="2" bestFit="1" customWidth="1"/>
    <col min="7" max="7" width="22.109375" style="2" customWidth="1"/>
    <col min="8" max="9" width="23.5546875" style="2" customWidth="1"/>
    <col min="10" max="11" width="17.88671875" style="2" bestFit="1" customWidth="1"/>
    <col min="12" max="12" width="26.88671875" style="1" customWidth="1"/>
    <col min="13" max="13" width="23" style="1" customWidth="1"/>
    <col min="14" max="14" width="24" style="1" customWidth="1"/>
    <col min="15" max="15" width="22.44140625" style="1" customWidth="1"/>
    <col min="16" max="16" width="27.5546875" style="1" customWidth="1"/>
    <col min="17" max="17" width="24.5546875" style="1" customWidth="1"/>
    <col min="18" max="18" width="26.109375" style="1" customWidth="1"/>
    <col min="19" max="19" width="10.109375" style="1" customWidth="1"/>
    <col min="20" max="20" width="16" style="1" customWidth="1"/>
    <col min="21" max="21" width="19.109375" style="1" customWidth="1"/>
    <col min="22" max="22" width="15.88671875" style="1" customWidth="1"/>
    <col min="23" max="23" width="16.6640625" style="1" customWidth="1"/>
    <col min="24" max="24" width="19.5546875" style="1" customWidth="1"/>
    <col min="25" max="16384" width="8.6640625" style="1"/>
  </cols>
  <sheetData>
    <row r="1" spans="2:16" ht="7.95" customHeight="1" x14ac:dyDescent="0.3"/>
    <row r="2" spans="2:16" ht="27.6" customHeight="1" x14ac:dyDescent="0.3">
      <c r="C2" s="3" t="s">
        <v>0</v>
      </c>
      <c r="J2" s="4"/>
      <c r="M2" s="3"/>
    </row>
    <row r="4" spans="2:16" hidden="1" x14ac:dyDescent="0.3">
      <c r="C4" s="5"/>
      <c r="E4" s="2" t="s">
        <v>1</v>
      </c>
      <c r="F4" s="2" t="s">
        <v>2</v>
      </c>
      <c r="G4" s="2" t="s">
        <v>3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</row>
    <row r="5" spans="2:16" ht="15.6" customHeight="1" x14ac:dyDescent="0.2">
      <c r="C5" s="6" t="s">
        <v>13</v>
      </c>
      <c r="D5" s="7" t="s">
        <v>14</v>
      </c>
      <c r="E5" s="8" t="s">
        <v>15</v>
      </c>
      <c r="F5" s="9" t="s">
        <v>16</v>
      </c>
      <c r="G5" s="9" t="s">
        <v>17</v>
      </c>
      <c r="H5" s="9" t="s">
        <v>18</v>
      </c>
      <c r="I5" s="9" t="s">
        <v>19</v>
      </c>
      <c r="J5" s="9" t="s">
        <v>20</v>
      </c>
      <c r="K5" s="9" t="s">
        <v>21</v>
      </c>
      <c r="L5" s="9" t="s">
        <v>22</v>
      </c>
      <c r="M5" s="9" t="s">
        <v>23</v>
      </c>
      <c r="N5" s="9" t="s">
        <v>24</v>
      </c>
      <c r="O5" s="9" t="s">
        <v>25</v>
      </c>
      <c r="P5" s="10" t="s">
        <v>26</v>
      </c>
    </row>
    <row r="6" spans="2:16" x14ac:dyDescent="0.2">
      <c r="C6" s="11"/>
      <c r="D6" s="12"/>
      <c r="E6" s="13">
        <v>27</v>
      </c>
      <c r="F6" s="14">
        <v>3</v>
      </c>
      <c r="G6" s="14">
        <v>4</v>
      </c>
      <c r="H6" s="14">
        <v>5</v>
      </c>
      <c r="I6" s="14">
        <v>6</v>
      </c>
      <c r="J6" s="14">
        <v>7</v>
      </c>
      <c r="K6" s="14">
        <v>8</v>
      </c>
      <c r="L6" s="14">
        <v>9</v>
      </c>
      <c r="M6" s="14">
        <v>10</v>
      </c>
      <c r="N6" s="14">
        <v>11</v>
      </c>
      <c r="O6" s="14">
        <v>12</v>
      </c>
      <c r="P6" s="14">
        <v>13</v>
      </c>
    </row>
    <row r="7" spans="2:16" x14ac:dyDescent="0.25">
      <c r="B7" s="1" t="s">
        <v>1</v>
      </c>
      <c r="C7" s="15" t="s">
        <v>15</v>
      </c>
      <c r="D7" s="16">
        <v>27</v>
      </c>
      <c r="E7" s="17">
        <v>0</v>
      </c>
      <c r="F7" s="17">
        <v>789</v>
      </c>
      <c r="G7" s="18">
        <v>912</v>
      </c>
      <c r="H7" s="18">
        <v>764</v>
      </c>
      <c r="I7" s="18">
        <v>783</v>
      </c>
      <c r="J7" s="18">
        <v>645</v>
      </c>
      <c r="K7" s="18">
        <v>545</v>
      </c>
      <c r="L7" s="18">
        <v>576</v>
      </c>
      <c r="M7" s="18">
        <v>356</v>
      </c>
      <c r="N7" s="18">
        <v>263</v>
      </c>
      <c r="O7" s="19">
        <v>54.3</v>
      </c>
      <c r="P7" s="20">
        <v>359</v>
      </c>
    </row>
    <row r="8" spans="2:16" x14ac:dyDescent="0.25">
      <c r="B8" s="1" t="s">
        <v>2</v>
      </c>
      <c r="C8" s="15" t="s">
        <v>16</v>
      </c>
      <c r="D8" s="16">
        <v>3</v>
      </c>
      <c r="E8" s="21">
        <f>F7</f>
        <v>789</v>
      </c>
      <c r="F8" s="17">
        <v>0</v>
      </c>
      <c r="G8" s="17">
        <v>262</v>
      </c>
      <c r="H8" s="18">
        <v>158</v>
      </c>
      <c r="I8" s="18">
        <v>251</v>
      </c>
      <c r="J8" s="17">
        <v>398</v>
      </c>
      <c r="K8" s="21">
        <v>365</v>
      </c>
      <c r="L8" s="17">
        <v>657</v>
      </c>
      <c r="M8" s="17">
        <v>465</v>
      </c>
      <c r="N8" s="18">
        <v>760</v>
      </c>
      <c r="O8" s="18">
        <v>817</v>
      </c>
      <c r="P8" s="16">
        <v>1123</v>
      </c>
    </row>
    <row r="9" spans="2:16" ht="13.2" customHeight="1" x14ac:dyDescent="0.25">
      <c r="B9" s="1" t="s">
        <v>3</v>
      </c>
      <c r="C9" s="15" t="s">
        <v>17</v>
      </c>
      <c r="D9" s="16">
        <v>4</v>
      </c>
      <c r="E9" s="22">
        <f>G7</f>
        <v>912</v>
      </c>
      <c r="F9" s="17">
        <f>G8</f>
        <v>262</v>
      </c>
      <c r="G9" s="17">
        <v>0</v>
      </c>
      <c r="H9" s="17">
        <v>410</v>
      </c>
      <c r="I9" s="18">
        <v>502</v>
      </c>
      <c r="J9" s="17">
        <v>683</v>
      </c>
      <c r="K9" s="21">
        <v>623</v>
      </c>
      <c r="L9" s="17">
        <v>858</v>
      </c>
      <c r="M9" s="17">
        <v>591</v>
      </c>
      <c r="N9" s="18">
        <v>864</v>
      </c>
      <c r="O9" s="18">
        <v>942</v>
      </c>
      <c r="P9" s="16">
        <v>1209</v>
      </c>
    </row>
    <row r="10" spans="2:16" x14ac:dyDescent="0.25">
      <c r="B10" s="1" t="s">
        <v>4</v>
      </c>
      <c r="C10" s="15" t="s">
        <v>18</v>
      </c>
      <c r="D10" s="16">
        <v>5</v>
      </c>
      <c r="E10" s="22">
        <f>H7</f>
        <v>764</v>
      </c>
      <c r="F10" s="18">
        <f>H8</f>
        <v>158</v>
      </c>
      <c r="G10" s="17">
        <f>H9</f>
        <v>410</v>
      </c>
      <c r="H10" s="18">
        <v>0</v>
      </c>
      <c r="I10" s="17">
        <v>94.6</v>
      </c>
      <c r="J10" s="17">
        <v>242</v>
      </c>
      <c r="K10" s="21">
        <v>287</v>
      </c>
      <c r="L10" s="17">
        <v>608</v>
      </c>
      <c r="M10" s="17">
        <v>483</v>
      </c>
      <c r="N10" s="18">
        <v>853</v>
      </c>
      <c r="O10" s="18">
        <v>792</v>
      </c>
      <c r="P10" s="16">
        <v>1098</v>
      </c>
    </row>
    <row r="11" spans="2:16" x14ac:dyDescent="0.25">
      <c r="B11" s="1" t="s">
        <v>5</v>
      </c>
      <c r="C11" s="15" t="s">
        <v>19</v>
      </c>
      <c r="D11" s="16">
        <v>6</v>
      </c>
      <c r="E11" s="22">
        <f>I7</f>
        <v>783</v>
      </c>
      <c r="F11" s="18">
        <f>I8</f>
        <v>251</v>
      </c>
      <c r="G11" s="18">
        <f>I9</f>
        <v>502</v>
      </c>
      <c r="H11" s="18">
        <f>I10</f>
        <v>94.6</v>
      </c>
      <c r="I11" s="18">
        <v>0</v>
      </c>
      <c r="J11" s="17">
        <v>241</v>
      </c>
      <c r="K11" s="21">
        <v>286</v>
      </c>
      <c r="L11" s="17">
        <v>607</v>
      </c>
      <c r="M11" s="17">
        <v>551</v>
      </c>
      <c r="N11" s="18">
        <v>886</v>
      </c>
      <c r="O11" s="18">
        <v>810</v>
      </c>
      <c r="P11" s="16">
        <v>1116</v>
      </c>
    </row>
    <row r="12" spans="2:16" x14ac:dyDescent="0.25">
      <c r="B12" s="1" t="s">
        <v>6</v>
      </c>
      <c r="C12" s="15" t="s">
        <v>20</v>
      </c>
      <c r="D12" s="16">
        <v>7</v>
      </c>
      <c r="E12" s="22">
        <f>J7</f>
        <v>645</v>
      </c>
      <c r="F12" s="17">
        <f>J8</f>
        <v>398</v>
      </c>
      <c r="G12" s="17">
        <f>J9</f>
        <v>683</v>
      </c>
      <c r="H12" s="18">
        <f>J10</f>
        <v>242</v>
      </c>
      <c r="I12" s="18">
        <f>J11</f>
        <v>241</v>
      </c>
      <c r="J12" s="17">
        <v>0</v>
      </c>
      <c r="K12" s="17">
        <v>111</v>
      </c>
      <c r="L12" s="17">
        <v>372</v>
      </c>
      <c r="M12" s="17">
        <v>520</v>
      </c>
      <c r="N12" s="18">
        <v>812</v>
      </c>
      <c r="O12" s="18">
        <v>670</v>
      </c>
      <c r="P12" s="16">
        <v>976</v>
      </c>
    </row>
    <row r="13" spans="2:16" x14ac:dyDescent="0.25">
      <c r="B13" s="1" t="s">
        <v>7</v>
      </c>
      <c r="C13" s="15" t="s">
        <v>21</v>
      </c>
      <c r="D13" s="16">
        <v>8</v>
      </c>
      <c r="E13" s="22">
        <f>K7</f>
        <v>545</v>
      </c>
      <c r="F13" s="17">
        <f>K8</f>
        <v>365</v>
      </c>
      <c r="G13" s="17">
        <f>K9</f>
        <v>623</v>
      </c>
      <c r="H13" s="18">
        <f>K10</f>
        <v>287</v>
      </c>
      <c r="I13" s="18">
        <f>K11</f>
        <v>286</v>
      </c>
      <c r="J13" s="17">
        <f>K12</f>
        <v>111</v>
      </c>
      <c r="K13" s="17">
        <v>0</v>
      </c>
      <c r="L13" s="17">
        <v>327</v>
      </c>
      <c r="M13" s="17">
        <v>415</v>
      </c>
      <c r="N13" s="18">
        <v>715</v>
      </c>
      <c r="O13" s="18">
        <v>573</v>
      </c>
      <c r="P13" s="16">
        <v>879</v>
      </c>
    </row>
    <row r="14" spans="2:16" x14ac:dyDescent="0.25">
      <c r="B14" s="1" t="s">
        <v>8</v>
      </c>
      <c r="C14" s="15" t="s">
        <v>22</v>
      </c>
      <c r="D14" s="16">
        <v>9</v>
      </c>
      <c r="E14" s="22">
        <f>L7</f>
        <v>576</v>
      </c>
      <c r="F14" s="17">
        <f>L8</f>
        <v>657</v>
      </c>
      <c r="G14" s="17">
        <f>L9</f>
        <v>858</v>
      </c>
      <c r="H14" s="18">
        <f>L10</f>
        <v>608</v>
      </c>
      <c r="I14" s="18">
        <f>L11</f>
        <v>607</v>
      </c>
      <c r="J14" s="17">
        <f>L12</f>
        <v>372</v>
      </c>
      <c r="K14" s="21">
        <f>L13</f>
        <v>327</v>
      </c>
      <c r="L14" s="17">
        <v>0</v>
      </c>
      <c r="M14" s="17">
        <v>524</v>
      </c>
      <c r="N14" s="18">
        <v>816</v>
      </c>
      <c r="O14" s="18">
        <v>544</v>
      </c>
      <c r="P14" s="16">
        <v>869</v>
      </c>
    </row>
    <row r="15" spans="2:16" x14ac:dyDescent="0.25">
      <c r="B15" s="1" t="s">
        <v>9</v>
      </c>
      <c r="C15" s="15" t="s">
        <v>23</v>
      </c>
      <c r="D15" s="16">
        <v>10</v>
      </c>
      <c r="E15" s="22">
        <f>M7</f>
        <v>356</v>
      </c>
      <c r="F15" s="17">
        <f>M8</f>
        <v>465</v>
      </c>
      <c r="G15" s="17">
        <f>M9</f>
        <v>591</v>
      </c>
      <c r="H15" s="18">
        <f>M10</f>
        <v>483</v>
      </c>
      <c r="I15" s="18">
        <f>M11</f>
        <v>551</v>
      </c>
      <c r="J15" s="17">
        <f>M12</f>
        <v>520</v>
      </c>
      <c r="K15" s="21">
        <f>M13</f>
        <v>415</v>
      </c>
      <c r="L15" s="21">
        <f>M14</f>
        <v>524</v>
      </c>
      <c r="M15" s="17">
        <v>0</v>
      </c>
      <c r="N15" s="18">
        <v>391</v>
      </c>
      <c r="O15" s="18">
        <v>382</v>
      </c>
      <c r="P15" s="16">
        <v>686</v>
      </c>
    </row>
    <row r="16" spans="2:16" x14ac:dyDescent="0.25">
      <c r="B16" s="1" t="s">
        <v>10</v>
      </c>
      <c r="C16" s="15" t="s">
        <v>24</v>
      </c>
      <c r="D16" s="16">
        <v>11</v>
      </c>
      <c r="E16" s="22">
        <f>N7</f>
        <v>263</v>
      </c>
      <c r="F16" s="18">
        <f>N8</f>
        <v>760</v>
      </c>
      <c r="G16" s="18">
        <f>N9</f>
        <v>864</v>
      </c>
      <c r="H16" s="18">
        <f>N10</f>
        <v>853</v>
      </c>
      <c r="I16" s="18">
        <f>N11</f>
        <v>886</v>
      </c>
      <c r="J16" s="18">
        <f>N12</f>
        <v>812</v>
      </c>
      <c r="K16" s="22">
        <f>N13</f>
        <v>715</v>
      </c>
      <c r="L16" s="18">
        <f>N14</f>
        <v>816</v>
      </c>
      <c r="M16" s="18">
        <f>N15</f>
        <v>391</v>
      </c>
      <c r="N16" s="17">
        <v>0</v>
      </c>
      <c r="O16" s="18">
        <v>318</v>
      </c>
      <c r="P16" s="16">
        <v>366</v>
      </c>
    </row>
    <row r="17" spans="2:16" x14ac:dyDescent="0.25">
      <c r="B17" s="1" t="s">
        <v>11</v>
      </c>
      <c r="C17" s="15" t="s">
        <v>25</v>
      </c>
      <c r="D17" s="16">
        <v>12</v>
      </c>
      <c r="E17" s="23">
        <f>O7</f>
        <v>54.3</v>
      </c>
      <c r="F17" s="18">
        <f>O8</f>
        <v>817</v>
      </c>
      <c r="G17" s="18">
        <f>O9</f>
        <v>942</v>
      </c>
      <c r="H17" s="18">
        <f>O10</f>
        <v>792</v>
      </c>
      <c r="I17" s="18">
        <f>O11</f>
        <v>810</v>
      </c>
      <c r="J17" s="18">
        <f>O12</f>
        <v>670</v>
      </c>
      <c r="K17" s="22">
        <f>O13</f>
        <v>573</v>
      </c>
      <c r="L17" s="18">
        <f>O14</f>
        <v>544</v>
      </c>
      <c r="M17" s="18">
        <f>O15</f>
        <v>382</v>
      </c>
      <c r="N17" s="18">
        <f>O16</f>
        <v>318</v>
      </c>
      <c r="O17" s="17">
        <v>0</v>
      </c>
      <c r="P17" s="16">
        <v>306</v>
      </c>
    </row>
    <row r="18" spans="2:16" x14ac:dyDescent="0.25">
      <c r="B18" s="1" t="s">
        <v>12</v>
      </c>
      <c r="C18" s="24" t="s">
        <v>26</v>
      </c>
      <c r="D18" s="25">
        <v>13</v>
      </c>
      <c r="E18" s="26">
        <f>P7</f>
        <v>359</v>
      </c>
      <c r="F18" s="27">
        <f>P8</f>
        <v>1123</v>
      </c>
      <c r="G18" s="27">
        <f>P9</f>
        <v>1209</v>
      </c>
      <c r="H18" s="28">
        <f>P10</f>
        <v>1098</v>
      </c>
      <c r="I18" s="28">
        <f>P11</f>
        <v>1116</v>
      </c>
      <c r="J18" s="27">
        <f>P12</f>
        <v>976</v>
      </c>
      <c r="K18" s="29">
        <f>P13</f>
        <v>879</v>
      </c>
      <c r="L18" s="27">
        <f>P14</f>
        <v>869</v>
      </c>
      <c r="M18" s="27">
        <f>P15</f>
        <v>686</v>
      </c>
      <c r="N18" s="28">
        <f>P16</f>
        <v>366</v>
      </c>
      <c r="O18" s="28">
        <f>P17</f>
        <v>306</v>
      </c>
      <c r="P18" s="25">
        <v>0</v>
      </c>
    </row>
    <row r="20" spans="2:16" x14ac:dyDescent="0.3">
      <c r="C20" s="30" t="s">
        <v>27</v>
      </c>
      <c r="D20" s="31" t="s">
        <v>28</v>
      </c>
      <c r="E20" s="31"/>
      <c r="F20" s="31"/>
      <c r="G20" s="31"/>
      <c r="H20" s="31"/>
      <c r="I20" s="31"/>
      <c r="J20" s="31"/>
      <c r="K20" s="31"/>
    </row>
    <row r="23" spans="2:16" ht="27.6" customHeight="1" x14ac:dyDescent="0.3">
      <c r="C23" s="3" t="s">
        <v>29</v>
      </c>
    </row>
    <row r="24" spans="2:16" x14ac:dyDescent="0.3">
      <c r="G24" s="1"/>
    </row>
    <row r="25" spans="2:16" x14ac:dyDescent="0.2">
      <c r="C25" s="6" t="s">
        <v>30</v>
      </c>
      <c r="D25" s="7" t="s">
        <v>14</v>
      </c>
      <c r="E25" s="8" t="s">
        <v>15</v>
      </c>
      <c r="F25" s="9" t="s">
        <v>16</v>
      </c>
      <c r="G25" s="9" t="s">
        <v>17</v>
      </c>
      <c r="H25" s="9" t="s">
        <v>18</v>
      </c>
      <c r="I25" s="9" t="s">
        <v>19</v>
      </c>
      <c r="J25" s="9" t="s">
        <v>20</v>
      </c>
      <c r="K25" s="9" t="s">
        <v>21</v>
      </c>
      <c r="L25" s="9" t="s">
        <v>22</v>
      </c>
      <c r="M25" s="9" t="s">
        <v>23</v>
      </c>
      <c r="N25" s="9" t="s">
        <v>24</v>
      </c>
      <c r="O25" s="9" t="s">
        <v>25</v>
      </c>
      <c r="P25" s="10" t="s">
        <v>26</v>
      </c>
    </row>
    <row r="26" spans="2:16" x14ac:dyDescent="0.2">
      <c r="C26" s="6"/>
      <c r="D26" s="12"/>
      <c r="E26" s="13">
        <v>27</v>
      </c>
      <c r="F26" s="32">
        <v>3</v>
      </c>
      <c r="G26" s="32">
        <v>4</v>
      </c>
      <c r="H26" s="32">
        <v>5</v>
      </c>
      <c r="I26" s="32">
        <v>6</v>
      </c>
      <c r="J26" s="32">
        <v>7</v>
      </c>
      <c r="K26" s="32">
        <v>8</v>
      </c>
      <c r="L26" s="32">
        <v>9</v>
      </c>
      <c r="M26" s="32">
        <v>10</v>
      </c>
      <c r="N26" s="32">
        <v>11</v>
      </c>
      <c r="O26" s="32">
        <v>12</v>
      </c>
      <c r="P26" s="32">
        <v>13</v>
      </c>
    </row>
    <row r="27" spans="2:16" x14ac:dyDescent="0.25">
      <c r="C27" s="33" t="s">
        <v>15</v>
      </c>
      <c r="D27" s="16">
        <v>27</v>
      </c>
      <c r="E27" s="17">
        <v>0</v>
      </c>
      <c r="F27" s="17">
        <f>8*60+9</f>
        <v>489</v>
      </c>
      <c r="G27" s="18">
        <f>9*60+58</f>
        <v>598</v>
      </c>
      <c r="H27" s="18">
        <f>8*60+51</f>
        <v>531</v>
      </c>
      <c r="I27" s="18">
        <f>8*60+57</f>
        <v>537</v>
      </c>
      <c r="J27" s="18">
        <f>7*60</f>
        <v>420</v>
      </c>
      <c r="K27" s="18">
        <f>6*60+20</f>
        <v>380</v>
      </c>
      <c r="L27" s="18">
        <f>6*60+38</f>
        <v>398</v>
      </c>
      <c r="M27" s="18">
        <f>3*60+50</f>
        <v>230</v>
      </c>
      <c r="N27" s="18">
        <f>2*60+48</f>
        <v>168</v>
      </c>
      <c r="O27" s="19">
        <v>44</v>
      </c>
      <c r="P27" s="20">
        <f>3*60+53</f>
        <v>233</v>
      </c>
    </row>
    <row r="28" spans="2:16" x14ac:dyDescent="0.25">
      <c r="C28" s="15" t="s">
        <v>16</v>
      </c>
      <c r="D28" s="16">
        <v>3</v>
      </c>
      <c r="E28" s="21">
        <f>F27</f>
        <v>489</v>
      </c>
      <c r="F28" s="17">
        <v>0</v>
      </c>
      <c r="G28" s="17">
        <f>3*60+27</f>
        <v>207</v>
      </c>
      <c r="H28" s="18">
        <f>60+56</f>
        <v>116</v>
      </c>
      <c r="I28" s="18">
        <f>3*60+18</f>
        <v>198</v>
      </c>
      <c r="J28" s="17">
        <f>4*60+29</f>
        <v>269</v>
      </c>
      <c r="K28" s="21">
        <f>4*60+2</f>
        <v>242</v>
      </c>
      <c r="L28" s="17">
        <f>7*60+19</f>
        <v>439</v>
      </c>
      <c r="M28" s="17">
        <f>5*60+1</f>
        <v>301</v>
      </c>
      <c r="N28" s="18">
        <f>8*60+31</f>
        <v>511</v>
      </c>
      <c r="O28" s="18">
        <f>8*60+31</f>
        <v>511</v>
      </c>
      <c r="P28" s="16">
        <f>11*60+33</f>
        <v>693</v>
      </c>
    </row>
    <row r="29" spans="2:16" x14ac:dyDescent="0.25">
      <c r="C29" s="15" t="s">
        <v>17</v>
      </c>
      <c r="D29" s="16">
        <v>4</v>
      </c>
      <c r="E29" s="22">
        <f>G27</f>
        <v>598</v>
      </c>
      <c r="F29" s="17">
        <f>G28</f>
        <v>207</v>
      </c>
      <c r="G29" s="17">
        <v>0</v>
      </c>
      <c r="H29" s="17">
        <f>5*60+13</f>
        <v>313</v>
      </c>
      <c r="I29" s="18">
        <f>6*60+34</f>
        <v>394</v>
      </c>
      <c r="J29" s="17">
        <f>7*60+38</f>
        <v>458</v>
      </c>
      <c r="K29" s="21">
        <f>7*60+9</f>
        <v>429</v>
      </c>
      <c r="L29" s="17">
        <f>9*60+59</f>
        <v>599</v>
      </c>
      <c r="M29" s="17">
        <f>6*60+37</f>
        <v>397</v>
      </c>
      <c r="N29" s="18">
        <f>9*60+12</f>
        <v>552</v>
      </c>
      <c r="O29" s="18">
        <f>10*60+19</f>
        <v>619</v>
      </c>
      <c r="P29" s="16">
        <f>12*60+42</f>
        <v>762</v>
      </c>
    </row>
    <row r="30" spans="2:16" x14ac:dyDescent="0.25">
      <c r="C30" s="15" t="s">
        <v>18</v>
      </c>
      <c r="D30" s="16">
        <v>5</v>
      </c>
      <c r="E30" s="22">
        <f>H27</f>
        <v>531</v>
      </c>
      <c r="F30" s="18">
        <f>H28</f>
        <v>116</v>
      </c>
      <c r="G30" s="17">
        <f>H29</f>
        <v>313</v>
      </c>
      <c r="H30" s="18">
        <v>0</v>
      </c>
      <c r="I30" s="17">
        <f>60+31</f>
        <v>91</v>
      </c>
      <c r="J30" s="17">
        <f>2*60+45</f>
        <v>165</v>
      </c>
      <c r="K30" s="21">
        <f>3*60+29</f>
        <v>209</v>
      </c>
      <c r="L30" s="17">
        <f>6*60+26</f>
        <v>386</v>
      </c>
      <c r="M30" s="17">
        <f>5*60+30</f>
        <v>330</v>
      </c>
      <c r="N30" s="18">
        <f>9*60+14</f>
        <v>554</v>
      </c>
      <c r="O30" s="18">
        <f>8*60+44</f>
        <v>524</v>
      </c>
      <c r="P30" s="16">
        <f>11*60+45</f>
        <v>705</v>
      </c>
    </row>
    <row r="31" spans="2:16" x14ac:dyDescent="0.25">
      <c r="C31" s="15" t="s">
        <v>19</v>
      </c>
      <c r="D31" s="16">
        <v>6</v>
      </c>
      <c r="E31" s="22">
        <f>I27</f>
        <v>537</v>
      </c>
      <c r="F31" s="18">
        <f>I28</f>
        <v>198</v>
      </c>
      <c r="G31" s="18">
        <f>I29</f>
        <v>394</v>
      </c>
      <c r="H31" s="18">
        <f>I30</f>
        <v>91</v>
      </c>
      <c r="I31" s="18">
        <v>0</v>
      </c>
      <c r="J31" s="17">
        <f>2*60+45</f>
        <v>165</v>
      </c>
      <c r="K31" s="21">
        <f>3*60+28</f>
        <v>208</v>
      </c>
      <c r="L31" s="17">
        <f>6*60+39</f>
        <v>399</v>
      </c>
      <c r="M31" s="17">
        <f>6*60+7</f>
        <v>367</v>
      </c>
      <c r="N31" s="18">
        <f>9*60+25</f>
        <v>565</v>
      </c>
      <c r="O31" s="18">
        <f>8*60+49</f>
        <v>529</v>
      </c>
      <c r="P31" s="16">
        <f>11*60+49</f>
        <v>709</v>
      </c>
    </row>
    <row r="32" spans="2:16" x14ac:dyDescent="0.25">
      <c r="C32" s="15" t="s">
        <v>20</v>
      </c>
      <c r="D32" s="16">
        <v>7</v>
      </c>
      <c r="E32" s="22">
        <f>J27</f>
        <v>420</v>
      </c>
      <c r="F32" s="17">
        <f>J28</f>
        <v>269</v>
      </c>
      <c r="G32" s="17">
        <f>J29</f>
        <v>458</v>
      </c>
      <c r="H32" s="18">
        <f>J30</f>
        <v>165</v>
      </c>
      <c r="I32" s="18">
        <f>J31</f>
        <v>165</v>
      </c>
      <c r="J32" s="17">
        <v>0</v>
      </c>
      <c r="K32" s="17">
        <f>60+32</f>
        <v>92</v>
      </c>
      <c r="L32" s="17">
        <f>4*60+19</f>
        <v>259</v>
      </c>
      <c r="M32" s="17">
        <f>5*60+34</f>
        <v>334</v>
      </c>
      <c r="N32" s="18">
        <f>8*60+36</f>
        <v>516</v>
      </c>
      <c r="O32" s="18">
        <f>7*60+14</f>
        <v>434</v>
      </c>
      <c r="P32" s="16">
        <f>10*60+19</f>
        <v>619</v>
      </c>
    </row>
    <row r="33" spans="3:16" x14ac:dyDescent="0.25">
      <c r="C33" s="15" t="s">
        <v>21</v>
      </c>
      <c r="D33" s="16">
        <v>8</v>
      </c>
      <c r="E33" s="22">
        <f>K27</f>
        <v>380</v>
      </c>
      <c r="F33" s="17">
        <f>K28</f>
        <v>242</v>
      </c>
      <c r="G33" s="17">
        <f>K29</f>
        <v>429</v>
      </c>
      <c r="H33" s="18">
        <f>K30</f>
        <v>209</v>
      </c>
      <c r="I33" s="18">
        <f>K31</f>
        <v>208</v>
      </c>
      <c r="J33" s="17">
        <f>K32</f>
        <v>92</v>
      </c>
      <c r="K33" s="17">
        <v>0</v>
      </c>
      <c r="L33" s="17">
        <f>4*60+3</f>
        <v>243</v>
      </c>
      <c r="M33" s="17">
        <f>4*60+41</f>
        <v>281</v>
      </c>
      <c r="N33" s="18">
        <f>7*60+51</f>
        <v>471</v>
      </c>
      <c r="O33" s="18">
        <f>6*60+27</f>
        <v>387</v>
      </c>
      <c r="P33" s="16">
        <f>9*60+37</f>
        <v>577</v>
      </c>
    </row>
    <row r="34" spans="3:16" x14ac:dyDescent="0.25">
      <c r="C34" s="15" t="s">
        <v>22</v>
      </c>
      <c r="D34" s="16">
        <v>9</v>
      </c>
      <c r="E34" s="22">
        <f>L27</f>
        <v>398</v>
      </c>
      <c r="F34" s="17">
        <f>L28</f>
        <v>439</v>
      </c>
      <c r="G34" s="17">
        <f>L29</f>
        <v>599</v>
      </c>
      <c r="H34" s="18">
        <f>L30</f>
        <v>386</v>
      </c>
      <c r="I34" s="18">
        <f>L31</f>
        <v>399</v>
      </c>
      <c r="J34" s="17">
        <f>L32</f>
        <v>259</v>
      </c>
      <c r="K34" s="21">
        <f>L33</f>
        <v>243</v>
      </c>
      <c r="L34" s="17">
        <v>0</v>
      </c>
      <c r="M34" s="17">
        <f>5*60+55</f>
        <v>355</v>
      </c>
      <c r="N34" s="18">
        <f>8*60+54</f>
        <v>534</v>
      </c>
      <c r="O34" s="18">
        <f>6*60+23</f>
        <v>383</v>
      </c>
      <c r="P34" s="16">
        <f>9*60+33</f>
        <v>573</v>
      </c>
    </row>
    <row r="35" spans="3:16" x14ac:dyDescent="0.25">
      <c r="C35" s="15" t="s">
        <v>23</v>
      </c>
      <c r="D35" s="16">
        <v>10</v>
      </c>
      <c r="E35" s="22">
        <f>M27</f>
        <v>230</v>
      </c>
      <c r="F35" s="17">
        <f>M28</f>
        <v>301</v>
      </c>
      <c r="G35" s="17">
        <f>M29</f>
        <v>397</v>
      </c>
      <c r="H35" s="18">
        <f>M30</f>
        <v>330</v>
      </c>
      <c r="I35" s="18">
        <f>M31</f>
        <v>367</v>
      </c>
      <c r="J35" s="17">
        <f>M32</f>
        <v>334</v>
      </c>
      <c r="K35" s="21">
        <f>M33</f>
        <v>281</v>
      </c>
      <c r="L35" s="21">
        <f>M34</f>
        <v>355</v>
      </c>
      <c r="M35" s="17">
        <v>0</v>
      </c>
      <c r="N35" s="18">
        <f>4*60</f>
        <v>240</v>
      </c>
      <c r="O35" s="18">
        <f>3*60+56</f>
        <v>236</v>
      </c>
      <c r="P35" s="16">
        <f>7*60+7</f>
        <v>427</v>
      </c>
    </row>
    <row r="36" spans="3:16" x14ac:dyDescent="0.25">
      <c r="C36" s="15" t="s">
        <v>24</v>
      </c>
      <c r="D36" s="16">
        <v>11</v>
      </c>
      <c r="E36" s="22">
        <f>N27</f>
        <v>168</v>
      </c>
      <c r="F36" s="18">
        <f>N28</f>
        <v>511</v>
      </c>
      <c r="G36" s="18">
        <f>N29</f>
        <v>552</v>
      </c>
      <c r="H36" s="18">
        <f>N30</f>
        <v>554</v>
      </c>
      <c r="I36" s="18">
        <f>N31</f>
        <v>565</v>
      </c>
      <c r="J36" s="18">
        <f>N32</f>
        <v>516</v>
      </c>
      <c r="K36" s="22">
        <f>N33</f>
        <v>471</v>
      </c>
      <c r="L36" s="18">
        <f>N34</f>
        <v>534</v>
      </c>
      <c r="M36" s="18">
        <f>N35</f>
        <v>240</v>
      </c>
      <c r="N36" s="17">
        <v>0</v>
      </c>
      <c r="O36" s="18">
        <f>3*60+36</f>
        <v>216</v>
      </c>
      <c r="P36" s="16">
        <f>4*60+6</f>
        <v>246</v>
      </c>
    </row>
    <row r="37" spans="3:16" x14ac:dyDescent="0.25">
      <c r="C37" s="15" t="s">
        <v>25</v>
      </c>
      <c r="D37" s="16">
        <v>12</v>
      </c>
      <c r="E37" s="22">
        <f>O27</f>
        <v>44</v>
      </c>
      <c r="F37" s="18">
        <f>O28</f>
        <v>511</v>
      </c>
      <c r="G37" s="18">
        <f>O29</f>
        <v>619</v>
      </c>
      <c r="H37" s="18">
        <f>O30</f>
        <v>524</v>
      </c>
      <c r="I37" s="18">
        <f>O31</f>
        <v>529</v>
      </c>
      <c r="J37" s="18">
        <f>O32</f>
        <v>434</v>
      </c>
      <c r="K37" s="22">
        <f>O33</f>
        <v>387</v>
      </c>
      <c r="L37" s="18">
        <f>O34</f>
        <v>383</v>
      </c>
      <c r="M37" s="18">
        <f>O35</f>
        <v>236</v>
      </c>
      <c r="N37" s="18">
        <f>O36</f>
        <v>216</v>
      </c>
      <c r="O37" s="17">
        <v>0</v>
      </c>
      <c r="P37" s="16">
        <f>3*60+27</f>
        <v>207</v>
      </c>
    </row>
    <row r="38" spans="3:16" x14ac:dyDescent="0.25">
      <c r="C38" s="24" t="s">
        <v>26</v>
      </c>
      <c r="D38" s="25">
        <v>13</v>
      </c>
      <c r="E38" s="26">
        <f>P27</f>
        <v>233</v>
      </c>
      <c r="F38" s="27">
        <f>P28</f>
        <v>693</v>
      </c>
      <c r="G38" s="27">
        <f>P29</f>
        <v>762</v>
      </c>
      <c r="H38" s="28">
        <f>P30</f>
        <v>705</v>
      </c>
      <c r="I38" s="28">
        <f>P31</f>
        <v>709</v>
      </c>
      <c r="J38" s="27">
        <f>P32</f>
        <v>619</v>
      </c>
      <c r="K38" s="29">
        <f>P33</f>
        <v>577</v>
      </c>
      <c r="L38" s="27">
        <f>P34</f>
        <v>573</v>
      </c>
      <c r="M38" s="27">
        <f>P35</f>
        <v>427</v>
      </c>
      <c r="N38" s="28">
        <f>P36</f>
        <v>246</v>
      </c>
      <c r="O38" s="28">
        <f>P37</f>
        <v>207</v>
      </c>
      <c r="P38" s="25">
        <v>0</v>
      </c>
    </row>
    <row r="41" spans="3:16" ht="27.6" customHeight="1" x14ac:dyDescent="0.3">
      <c r="C41" s="34" t="s">
        <v>31</v>
      </c>
    </row>
    <row r="42" spans="3:16" x14ac:dyDescent="0.3">
      <c r="G42" s="1"/>
    </row>
    <row r="43" spans="3:16" x14ac:dyDescent="0.2">
      <c r="C43" s="35" t="s">
        <v>32</v>
      </c>
      <c r="D43" s="35"/>
      <c r="E43" s="9" t="s">
        <v>16</v>
      </c>
      <c r="F43" s="9" t="s">
        <v>17</v>
      </c>
      <c r="G43" s="9" t="s">
        <v>18</v>
      </c>
      <c r="H43" s="9" t="s">
        <v>19</v>
      </c>
      <c r="I43" s="9" t="s">
        <v>20</v>
      </c>
      <c r="J43" s="9" t="s">
        <v>21</v>
      </c>
      <c r="K43" s="9" t="s">
        <v>22</v>
      </c>
      <c r="L43" s="9" t="s">
        <v>23</v>
      </c>
      <c r="M43" s="9" t="s">
        <v>24</v>
      </c>
      <c r="N43" s="9" t="s">
        <v>25</v>
      </c>
      <c r="O43" s="10" t="s">
        <v>26</v>
      </c>
    </row>
    <row r="44" spans="3:16" x14ac:dyDescent="0.2">
      <c r="C44" s="35"/>
      <c r="D44" s="35"/>
      <c r="E44" s="36">
        <v>3</v>
      </c>
      <c r="F44" s="32">
        <v>4</v>
      </c>
      <c r="G44" s="32">
        <v>5</v>
      </c>
      <c r="H44" s="32">
        <v>6</v>
      </c>
      <c r="I44" s="32">
        <v>7</v>
      </c>
      <c r="J44" s="32">
        <v>8</v>
      </c>
      <c r="K44" s="32">
        <v>9</v>
      </c>
      <c r="L44" s="32">
        <v>10</v>
      </c>
      <c r="M44" s="32">
        <v>11</v>
      </c>
      <c r="N44" s="32">
        <v>12</v>
      </c>
      <c r="O44" s="37">
        <v>13</v>
      </c>
    </row>
    <row r="45" spans="3:16" x14ac:dyDescent="0.25">
      <c r="C45" s="38" t="s">
        <v>33</v>
      </c>
      <c r="D45" s="38"/>
      <c r="E45" s="39">
        <f>'[1]0. DADOS'!K7*100*1000/'3.'!$F$53*I55</f>
        <v>9597.7300313030119</v>
      </c>
      <c r="F45" s="18">
        <f>'[1]0. DADOS'!K8*100*1000/'3.'!$F$53*I55</f>
        <v>12796.973375070684</v>
      </c>
      <c r="G45" s="18">
        <f>'[1]0. DADOS'!K9*100*1000/'3.'!$F$53*$I$55</f>
        <v>15996.216718838354</v>
      </c>
      <c r="H45" s="18">
        <f>'[1]0. DADOS'!K10*100*1000/'3.'!$F$53*$I$55</f>
        <v>6398.4866875353418</v>
      </c>
      <c r="I45" s="18">
        <f>'[1]0. DADOS'!K11*100*1000/'3.'!$F$53*I55</f>
        <v>9597.7300313030119</v>
      </c>
      <c r="J45" s="18">
        <f>'[1]0. DADOS'!K12*100*1000/'3.'!$F$53*$I$55</f>
        <v>3199.2433437676709</v>
      </c>
      <c r="K45" s="18">
        <f>'[1]0. DADOS'!K13*100*1000/'3.'!$F$53*$I$55</f>
        <v>7998.1083594191768</v>
      </c>
      <c r="L45" s="18">
        <f>'[1]0. DADOS'!K14*100*1000/'3.'!$F$53*$I$55</f>
        <v>7998.1083594191768</v>
      </c>
      <c r="M45" s="18">
        <f>'[1]0. DADOS'!K15*100*1000/'3.'!$F$53*I55</f>
        <v>23994.325078257531</v>
      </c>
      <c r="N45" s="40">
        <f>'[1]0. DADOS'!K16*100*1000/'3.'!$F$53*I55</f>
        <v>23994.325078257531</v>
      </c>
      <c r="O45" s="41">
        <f>'[1]0. DADOS'!K17*100*1000/'3.'!$F$53*I55</f>
        <v>31992.433437676707</v>
      </c>
    </row>
    <row r="46" spans="3:16" x14ac:dyDescent="0.25">
      <c r="C46" s="42" t="s">
        <v>34</v>
      </c>
      <c r="D46" s="42"/>
      <c r="E46" s="39">
        <f>'[1]0. DADOS'!K7*100*1000/'3.'!$F$53*J55</f>
        <v>1765.906332333351</v>
      </c>
      <c r="F46" s="18">
        <f>'[1]0. DADOS'!K8*100*1000/'3.'!$F$53*J55</f>
        <v>2354.5417764444683</v>
      </c>
      <c r="G46" s="18">
        <f>'[1]0. DADOS'!K9*100*1000/'3.'!$F$53*J55</f>
        <v>2943.1772205555853</v>
      </c>
      <c r="H46" s="18">
        <f>'[1]0. DADOS'!K10*100*1000/'3.'!$F$53*J55</f>
        <v>1177.2708882222341</v>
      </c>
      <c r="I46" s="18">
        <f>'[1]0. DADOS'!K11*100*1000/'3.'!$F$53*J55</f>
        <v>1765.906332333351</v>
      </c>
      <c r="J46" s="18">
        <f>'[1]0. DADOS'!K12*100*1000/'3.'!$F$53*J55</f>
        <v>588.63544411111707</v>
      </c>
      <c r="K46" s="18">
        <f>'[1]0. DADOS'!K13*100*1000/'3.'!$F$53*J55</f>
        <v>1471.5886102777927</v>
      </c>
      <c r="L46" s="18">
        <f>'[1]0. DADOS'!K14*100*1000/'3.'!$F$53*J55</f>
        <v>1471.5886102777927</v>
      </c>
      <c r="M46" s="18">
        <f>'[1]0. DADOS'!K15*100*1000/'3.'!$F$53*J55</f>
        <v>4414.7658308333775</v>
      </c>
      <c r="N46" s="40">
        <f>'[1]0. DADOS'!K16*100*1000/'3.'!$F$53*J55</f>
        <v>4414.7658308333775</v>
      </c>
      <c r="O46" s="43">
        <f>'[1]0. DADOS'!K17*100*1000/'3.'!$F$53*J55</f>
        <v>5886.3544411111707</v>
      </c>
    </row>
    <row r="47" spans="3:16" x14ac:dyDescent="0.3">
      <c r="C47" s="44" t="s">
        <v>35</v>
      </c>
      <c r="D47" s="44"/>
      <c r="E47" s="45">
        <f>SUM(E45:E46)</f>
        <v>11363.636363636362</v>
      </c>
      <c r="F47" s="46">
        <f t="shared" ref="F47:O47" si="0">SUM(F45:F46)</f>
        <v>15151.515151515152</v>
      </c>
      <c r="G47" s="47">
        <f t="shared" si="0"/>
        <v>18939.39393939394</v>
      </c>
      <c r="H47" s="47">
        <f t="shared" si="0"/>
        <v>7575.757575757576</v>
      </c>
      <c r="I47" s="46">
        <f t="shared" si="0"/>
        <v>11363.636363636362</v>
      </c>
      <c r="J47" s="47">
        <f t="shared" si="0"/>
        <v>3787.878787878788</v>
      </c>
      <c r="K47" s="47">
        <f t="shared" si="0"/>
        <v>9469.69696969697</v>
      </c>
      <c r="L47" s="48">
        <f t="shared" si="0"/>
        <v>9469.69696969697</v>
      </c>
      <c r="M47" s="49">
        <f t="shared" si="0"/>
        <v>28409.090909090908</v>
      </c>
      <c r="N47" s="49">
        <f t="shared" si="0"/>
        <v>28409.090909090908</v>
      </c>
      <c r="O47" s="50">
        <f t="shared" si="0"/>
        <v>37878.78787878788</v>
      </c>
    </row>
    <row r="48" spans="3:16" x14ac:dyDescent="0.3">
      <c r="C48" s="51" t="s">
        <v>36</v>
      </c>
      <c r="D48" s="52"/>
      <c r="E48" s="53">
        <f>E47*22</f>
        <v>249999.99999999997</v>
      </c>
      <c r="F48" s="54">
        <f t="shared" ref="F48:O48" si="1">F47*22</f>
        <v>333333.33333333337</v>
      </c>
      <c r="G48" s="54">
        <f t="shared" si="1"/>
        <v>416666.66666666669</v>
      </c>
      <c r="H48" s="54">
        <f t="shared" si="1"/>
        <v>166666.66666666669</v>
      </c>
      <c r="I48" s="55">
        <f t="shared" si="1"/>
        <v>249999.99999999997</v>
      </c>
      <c r="J48" s="54">
        <f t="shared" si="1"/>
        <v>83333.333333333343</v>
      </c>
      <c r="K48" s="54">
        <f t="shared" si="1"/>
        <v>208333.33333333334</v>
      </c>
      <c r="L48" s="56">
        <f t="shared" si="1"/>
        <v>208333.33333333334</v>
      </c>
      <c r="M48" s="57">
        <f t="shared" si="1"/>
        <v>625000</v>
      </c>
      <c r="N48" s="57">
        <f t="shared" si="1"/>
        <v>625000</v>
      </c>
      <c r="O48" s="58">
        <f t="shared" si="1"/>
        <v>833333.33333333337</v>
      </c>
    </row>
    <row r="49" spans="3:15" x14ac:dyDescent="0.3">
      <c r="C49" s="59" t="s">
        <v>37</v>
      </c>
      <c r="D49" s="60"/>
      <c r="E49" s="61">
        <f t="shared" ref="E49:O49" si="2">E48*12</f>
        <v>2999999.9999999995</v>
      </c>
      <c r="F49" s="62">
        <f t="shared" si="2"/>
        <v>4000000.0000000005</v>
      </c>
      <c r="G49" s="63">
        <f t="shared" si="2"/>
        <v>5000000</v>
      </c>
      <c r="H49" s="62">
        <f t="shared" si="2"/>
        <v>2000000.0000000002</v>
      </c>
      <c r="I49" s="64">
        <f t="shared" si="2"/>
        <v>2999999.9999999995</v>
      </c>
      <c r="J49" s="62">
        <f t="shared" si="2"/>
        <v>1000000.0000000001</v>
      </c>
      <c r="K49" s="62">
        <f t="shared" si="2"/>
        <v>2500000</v>
      </c>
      <c r="L49" s="64">
        <f t="shared" si="2"/>
        <v>2500000</v>
      </c>
      <c r="M49" s="63">
        <f t="shared" si="2"/>
        <v>7500000</v>
      </c>
      <c r="N49" s="63">
        <f t="shared" si="2"/>
        <v>7500000</v>
      </c>
      <c r="O49" s="65">
        <f t="shared" si="2"/>
        <v>10000000</v>
      </c>
    </row>
    <row r="50" spans="3:15" x14ac:dyDescent="0.3">
      <c r="C50" s="66" t="s">
        <v>38</v>
      </c>
      <c r="D50" s="66"/>
      <c r="E50" s="67">
        <f t="shared" ref="E50:O50" si="3">ROUNDUP(E45/$I$54/$F$66,0)</f>
        <v>8</v>
      </c>
      <c r="F50" s="49">
        <f t="shared" si="3"/>
        <v>11</v>
      </c>
      <c r="G50" s="49">
        <f t="shared" si="3"/>
        <v>14</v>
      </c>
      <c r="H50" s="49">
        <f t="shared" si="3"/>
        <v>6</v>
      </c>
      <c r="I50" s="49">
        <f t="shared" si="3"/>
        <v>8</v>
      </c>
      <c r="J50" s="49">
        <f t="shared" si="3"/>
        <v>3</v>
      </c>
      <c r="K50" s="49">
        <f t="shared" si="3"/>
        <v>7</v>
      </c>
      <c r="L50" s="47">
        <f t="shared" si="3"/>
        <v>7</v>
      </c>
      <c r="M50" s="49">
        <f t="shared" si="3"/>
        <v>20</v>
      </c>
      <c r="N50" s="49">
        <f t="shared" si="3"/>
        <v>20</v>
      </c>
      <c r="O50" s="50">
        <f t="shared" si="3"/>
        <v>27</v>
      </c>
    </row>
    <row r="51" spans="3:15" x14ac:dyDescent="0.3">
      <c r="C51" s="68" t="s">
        <v>39</v>
      </c>
      <c r="D51" s="59"/>
      <c r="E51" s="61">
        <f t="shared" ref="E51:O51" si="4">ROUNDUP(E46/$J$54/$F$67,0)</f>
        <v>3</v>
      </c>
      <c r="F51" s="62">
        <f t="shared" si="4"/>
        <v>4</v>
      </c>
      <c r="G51" s="62">
        <f t="shared" si="4"/>
        <v>4</v>
      </c>
      <c r="H51" s="62">
        <f t="shared" si="4"/>
        <v>2</v>
      </c>
      <c r="I51" s="64">
        <f t="shared" si="4"/>
        <v>3</v>
      </c>
      <c r="J51" s="63">
        <f t="shared" si="4"/>
        <v>1</v>
      </c>
      <c r="K51" s="63">
        <f t="shared" si="4"/>
        <v>2</v>
      </c>
      <c r="L51" s="63">
        <f t="shared" si="4"/>
        <v>2</v>
      </c>
      <c r="M51" s="63">
        <f t="shared" si="4"/>
        <v>6</v>
      </c>
      <c r="N51" s="62">
        <f t="shared" si="4"/>
        <v>6</v>
      </c>
      <c r="O51" s="69">
        <f t="shared" si="4"/>
        <v>8</v>
      </c>
    </row>
    <row r="53" spans="3:15" x14ac:dyDescent="0.3">
      <c r="C53" s="70" t="s">
        <v>40</v>
      </c>
      <c r="D53" s="70"/>
      <c r="E53" s="70"/>
      <c r="F53" s="71">
        <f>22*12</f>
        <v>264</v>
      </c>
      <c r="I53" s="72" t="s">
        <v>41</v>
      </c>
      <c r="J53" s="72" t="s">
        <v>42</v>
      </c>
    </row>
    <row r="54" spans="3:15" x14ac:dyDescent="0.3">
      <c r="H54" s="73" t="s">
        <v>43</v>
      </c>
      <c r="I54" s="71">
        <f>'[1]2.1. PALETES'!F5</f>
        <v>20</v>
      </c>
      <c r="J54" s="71">
        <f>'[1]2.1. PALETES'!F6</f>
        <v>14</v>
      </c>
    </row>
    <row r="55" spans="3:15" x14ac:dyDescent="0.3">
      <c r="H55" s="73" t="s">
        <v>44</v>
      </c>
      <c r="I55" s="74">
        <f>('[1]2.1. PRODUTO A'!D113*I54)/('[1]2.1. PRODUTO A'!D113*I54+'[1]2.1. PRODUTO B'!D113*J54)</f>
        <v>0.84460024275466505</v>
      </c>
      <c r="J55" s="74">
        <f>('[1]2.1. PRODUTO B'!D113*J54)/('[1]2.1. PRODUTO A'!D113*I54+'[1]2.1. PRODUTO B'!D113*J54)</f>
        <v>0.15539975724533489</v>
      </c>
    </row>
    <row r="56" spans="3:15" x14ac:dyDescent="0.3">
      <c r="H56" s="1"/>
      <c r="I56" s="75"/>
      <c r="J56" s="75"/>
    </row>
    <row r="58" spans="3:15" ht="27.6" customHeight="1" x14ac:dyDescent="0.3">
      <c r="C58" s="34" t="s">
        <v>45</v>
      </c>
    </row>
    <row r="59" spans="3:15" x14ac:dyDescent="0.3">
      <c r="G59" s="1"/>
    </row>
    <row r="60" spans="3:15" x14ac:dyDescent="0.2">
      <c r="C60" s="35" t="s">
        <v>46</v>
      </c>
      <c r="D60" s="76"/>
      <c r="E60" s="9" t="s">
        <v>16</v>
      </c>
      <c r="F60" s="9" t="s">
        <v>17</v>
      </c>
      <c r="G60" s="9" t="s">
        <v>18</v>
      </c>
      <c r="H60" s="9" t="s">
        <v>19</v>
      </c>
      <c r="I60" s="9" t="s">
        <v>20</v>
      </c>
      <c r="J60" s="9" t="s">
        <v>21</v>
      </c>
      <c r="K60" s="9" t="s">
        <v>22</v>
      </c>
      <c r="L60" s="9" t="s">
        <v>23</v>
      </c>
      <c r="M60" s="9" t="s">
        <v>24</v>
      </c>
      <c r="N60" s="9" t="s">
        <v>25</v>
      </c>
      <c r="O60" s="10" t="s">
        <v>26</v>
      </c>
    </row>
    <row r="61" spans="3:15" x14ac:dyDescent="0.2">
      <c r="C61" s="77"/>
      <c r="D61" s="78"/>
      <c r="E61" s="32">
        <v>3</v>
      </c>
      <c r="F61" s="32">
        <v>4</v>
      </c>
      <c r="G61" s="32">
        <v>5</v>
      </c>
      <c r="H61" s="32">
        <v>6</v>
      </c>
      <c r="I61" s="32">
        <v>7</v>
      </c>
      <c r="J61" s="32">
        <v>8</v>
      </c>
      <c r="K61" s="32">
        <v>9</v>
      </c>
      <c r="L61" s="32">
        <v>10</v>
      </c>
      <c r="M61" s="32">
        <v>11</v>
      </c>
      <c r="N61" s="32">
        <v>12</v>
      </c>
      <c r="O61" s="37">
        <v>13</v>
      </c>
    </row>
    <row r="62" spans="3:15" x14ac:dyDescent="0.25">
      <c r="C62" s="38" t="s">
        <v>41</v>
      </c>
      <c r="D62" s="79"/>
      <c r="E62" s="18">
        <f t="shared" ref="E62:O63" si="5">E50*$F$68</f>
        <v>16</v>
      </c>
      <c r="F62" s="18">
        <f t="shared" si="5"/>
        <v>22</v>
      </c>
      <c r="G62" s="18">
        <f t="shared" si="5"/>
        <v>28</v>
      </c>
      <c r="H62" s="18">
        <f t="shared" si="5"/>
        <v>12</v>
      </c>
      <c r="I62" s="18">
        <f t="shared" si="5"/>
        <v>16</v>
      </c>
      <c r="J62" s="18">
        <f t="shared" si="5"/>
        <v>6</v>
      </c>
      <c r="K62" s="18">
        <f t="shared" si="5"/>
        <v>14</v>
      </c>
      <c r="L62" s="18">
        <f t="shared" si="5"/>
        <v>14</v>
      </c>
      <c r="M62" s="18">
        <f t="shared" si="5"/>
        <v>40</v>
      </c>
      <c r="N62" s="40">
        <f t="shared" si="5"/>
        <v>40</v>
      </c>
      <c r="O62" s="18">
        <f t="shared" si="5"/>
        <v>54</v>
      </c>
    </row>
    <row r="63" spans="3:15" x14ac:dyDescent="0.25">
      <c r="C63" s="42" t="s">
        <v>42</v>
      </c>
      <c r="D63" s="80"/>
      <c r="E63" s="28">
        <f t="shared" si="5"/>
        <v>6</v>
      </c>
      <c r="F63" s="28">
        <f t="shared" si="5"/>
        <v>8</v>
      </c>
      <c r="G63" s="28">
        <f t="shared" si="5"/>
        <v>8</v>
      </c>
      <c r="H63" s="28">
        <f t="shared" si="5"/>
        <v>4</v>
      </c>
      <c r="I63" s="28">
        <f t="shared" si="5"/>
        <v>6</v>
      </c>
      <c r="J63" s="28">
        <f t="shared" si="5"/>
        <v>2</v>
      </c>
      <c r="K63" s="28">
        <f t="shared" si="5"/>
        <v>4</v>
      </c>
      <c r="L63" s="28">
        <f t="shared" si="5"/>
        <v>4</v>
      </c>
      <c r="M63" s="28">
        <f t="shared" si="5"/>
        <v>12</v>
      </c>
      <c r="N63" s="81">
        <f t="shared" si="5"/>
        <v>12</v>
      </c>
      <c r="O63" s="28">
        <f t="shared" si="5"/>
        <v>16</v>
      </c>
    </row>
    <row r="64" spans="3:15" x14ac:dyDescent="0.3">
      <c r="C64" s="82" t="s">
        <v>47</v>
      </c>
      <c r="D64" s="83"/>
      <c r="E64" s="84">
        <f>SUM(E62:E63)</f>
        <v>22</v>
      </c>
      <c r="F64" s="85">
        <f t="shared" ref="F64:O64" si="6">SUM(F62:F63)</f>
        <v>30</v>
      </c>
      <c r="G64" s="86">
        <f t="shared" si="6"/>
        <v>36</v>
      </c>
      <c r="H64" s="87">
        <f t="shared" si="6"/>
        <v>16</v>
      </c>
      <c r="I64" s="85">
        <f t="shared" si="6"/>
        <v>22</v>
      </c>
      <c r="J64" s="87">
        <f t="shared" si="6"/>
        <v>8</v>
      </c>
      <c r="K64" s="87">
        <f t="shared" si="6"/>
        <v>18</v>
      </c>
      <c r="L64" s="85">
        <f t="shared" si="6"/>
        <v>18</v>
      </c>
      <c r="M64" s="86">
        <f t="shared" si="6"/>
        <v>52</v>
      </c>
      <c r="N64" s="86">
        <f t="shared" si="6"/>
        <v>52</v>
      </c>
      <c r="O64" s="65">
        <f t="shared" si="6"/>
        <v>70</v>
      </c>
    </row>
    <row r="66" spans="3:15" x14ac:dyDescent="0.3">
      <c r="C66" s="70" t="s">
        <v>48</v>
      </c>
      <c r="D66" s="70"/>
      <c r="E66" s="70"/>
      <c r="F66" s="88">
        <v>60</v>
      </c>
    </row>
    <row r="67" spans="3:15" x14ac:dyDescent="0.3">
      <c r="C67" s="70" t="s">
        <v>49</v>
      </c>
      <c r="D67" s="70"/>
      <c r="E67" s="70"/>
      <c r="F67" s="88">
        <v>55</v>
      </c>
    </row>
    <row r="68" spans="3:15" x14ac:dyDescent="0.3">
      <c r="C68" s="70" t="s">
        <v>50</v>
      </c>
      <c r="D68" s="70"/>
      <c r="E68" s="70"/>
      <c r="F68" s="88">
        <v>2</v>
      </c>
    </row>
    <row r="71" spans="3:15" ht="27.6" customHeight="1" x14ac:dyDescent="0.3">
      <c r="C71" s="34" t="s">
        <v>51</v>
      </c>
    </row>
    <row r="72" spans="3:15" x14ac:dyDescent="0.3">
      <c r="G72" s="1"/>
    </row>
    <row r="73" spans="3:15" x14ac:dyDescent="0.2">
      <c r="C73" s="35" t="s">
        <v>46</v>
      </c>
      <c r="D73" s="76"/>
      <c r="E73" s="9" t="s">
        <v>16</v>
      </c>
      <c r="F73" s="9" t="s">
        <v>17</v>
      </c>
      <c r="G73" s="9" t="s">
        <v>18</v>
      </c>
      <c r="H73" s="9" t="s">
        <v>19</v>
      </c>
      <c r="I73" s="9" t="s">
        <v>20</v>
      </c>
      <c r="J73" s="9" t="s">
        <v>21</v>
      </c>
      <c r="K73" s="9" t="s">
        <v>22</v>
      </c>
      <c r="L73" s="9" t="s">
        <v>23</v>
      </c>
      <c r="M73" s="9" t="s">
        <v>24</v>
      </c>
      <c r="N73" s="9" t="s">
        <v>25</v>
      </c>
      <c r="O73" s="10" t="s">
        <v>26</v>
      </c>
    </row>
    <row r="74" spans="3:15" x14ac:dyDescent="0.2">
      <c r="C74" s="77"/>
      <c r="D74" s="78"/>
      <c r="E74" s="32">
        <v>3</v>
      </c>
      <c r="F74" s="32">
        <v>4</v>
      </c>
      <c r="G74" s="32">
        <v>5</v>
      </c>
      <c r="H74" s="32">
        <v>6</v>
      </c>
      <c r="I74" s="32">
        <v>7</v>
      </c>
      <c r="J74" s="32">
        <v>8</v>
      </c>
      <c r="K74" s="32">
        <v>9</v>
      </c>
      <c r="L74" s="32">
        <v>10</v>
      </c>
      <c r="M74" s="32">
        <v>11</v>
      </c>
      <c r="N74" s="32">
        <v>12</v>
      </c>
      <c r="O74" s="32">
        <v>13</v>
      </c>
    </row>
    <row r="75" spans="3:15" x14ac:dyDescent="0.25">
      <c r="C75" s="38" t="s">
        <v>52</v>
      </c>
      <c r="D75" s="79"/>
      <c r="E75" s="18">
        <f>HOUR('[1]0. DADOS'!$L7)*60+MINUTE('[1]0. DADOS'!$L7)+SECOND('[1]0. DADOS'!$L7)/60</f>
        <v>540</v>
      </c>
      <c r="F75" s="18">
        <f>HOUR('[1]0. DADOS'!$L8)*60+MINUTE('[1]0. DADOS'!$L8)+SECOND('[1]0. DADOS'!$L8)/60</f>
        <v>840</v>
      </c>
      <c r="G75" s="18">
        <f>HOUR('[1]0. DADOS'!$L9)*60+MINUTE('[1]0. DADOS'!$L9)+SECOND('[1]0. DADOS'!$L9)/60</f>
        <v>960</v>
      </c>
      <c r="H75" s="18">
        <f>HOUR('[1]0. DADOS'!$L10)*60+MINUTE('[1]0. DADOS'!$L10)+SECOND('[1]0. DADOS'!$L10)/60</f>
        <v>600</v>
      </c>
      <c r="I75" s="18">
        <f>HOUR('[1]0. DADOS'!$L11)*60+MINUTE('[1]0. DADOS'!$L11)+SECOND('[1]0. DADOS'!$L11)/60</f>
        <v>600</v>
      </c>
      <c r="J75" s="18">
        <f>HOUR('[1]0. DADOS'!$L12)*60+MINUTE('[1]0. DADOS'!$L12)+SECOND('[1]0. DADOS'!$L12)/60</f>
        <v>660</v>
      </c>
      <c r="K75" s="18">
        <f>HOUR('[1]0. DADOS'!$L13)*60+MINUTE('[1]0. DADOS'!$L13)+SECOND('[1]0. DADOS'!$L13)/60</f>
        <v>480</v>
      </c>
      <c r="L75" s="18">
        <f>HOUR('[1]0. DADOS'!$L14)*60+MINUTE('[1]0. DADOS'!$L14)+SECOND('[1]0. DADOS'!$L14)/60</f>
        <v>900</v>
      </c>
      <c r="M75" s="18">
        <f>HOUR('[1]0. DADOS'!$L15)*60+MINUTE('[1]0. DADOS'!$L15)+SECOND('[1]0. DADOS'!$L15)/60</f>
        <v>960</v>
      </c>
      <c r="N75" s="18">
        <f>HOUR('[1]0. DADOS'!$L16)*60+MINUTE('[1]0. DADOS'!$L16)+SECOND('[1]0. DADOS'!$L16)/60</f>
        <v>600</v>
      </c>
      <c r="O75" s="20">
        <f>HOUR('[1]0. DADOS'!$L17)*60+MINUTE('[1]0. DADOS'!$L17)+SECOND('[1]0. DADOS'!$L17)/60</f>
        <v>960</v>
      </c>
    </row>
    <row r="76" spans="3:15" x14ac:dyDescent="0.25">
      <c r="C76" s="42" t="s">
        <v>53</v>
      </c>
      <c r="D76" s="80"/>
      <c r="E76" s="28">
        <f>HOUR('[1]0. DADOS'!$M7)*60+MINUTE('[1]0. DADOS'!$M7)+SECOND('[1]0. DADOS'!$M7)/60</f>
        <v>660</v>
      </c>
      <c r="F76" s="28">
        <f>HOUR('[1]0. DADOS'!$M8)*60+MINUTE('[1]0. DADOS'!$M8)+SECOND('[1]0. DADOS'!$M8)/60</f>
        <v>960</v>
      </c>
      <c r="G76" s="28">
        <f>HOUR('[1]0. DADOS'!$M9)*60+MINUTE('[1]0. DADOS'!$M9)+SECOND('[1]0. DADOS'!$M9)/60</f>
        <v>1080</v>
      </c>
      <c r="H76" s="28">
        <f>HOUR('[1]0. DADOS'!$M10)*60+MINUTE('[1]0. DADOS'!$M10)+SECOND('[1]0. DADOS'!$M10)/60</f>
        <v>720</v>
      </c>
      <c r="I76" s="28">
        <f>HOUR('[1]0. DADOS'!$M11)*60+MINUTE('[1]0. DADOS'!$M11)+SECOND('[1]0. DADOS'!$M11)/60</f>
        <v>720</v>
      </c>
      <c r="J76" s="28">
        <f>HOUR('[1]0. DADOS'!$M12)*60+MINUTE('[1]0. DADOS'!$M12)+SECOND('[1]0. DADOS'!$M12)/60</f>
        <v>780</v>
      </c>
      <c r="K76" s="28">
        <f>HOUR('[1]0. DADOS'!$M13)*60+MINUTE('[1]0. DADOS'!$M13)+SECOND('[1]0. DADOS'!$M13)/60</f>
        <v>600</v>
      </c>
      <c r="L76" s="28">
        <f>HOUR('[1]0. DADOS'!$M14)*60+MINUTE('[1]0. DADOS'!$M14)+SECOND('[1]0. DADOS'!$M14)/60</f>
        <v>1020</v>
      </c>
      <c r="M76" s="28">
        <f>HOUR('[1]0. DADOS'!$M15)*60+MINUTE('[1]0. DADOS'!$M15)+SECOND('[1]0. DADOS'!$M15)/60</f>
        <v>1080</v>
      </c>
      <c r="N76" s="28">
        <f>HOUR('[1]0. DADOS'!$M16)*60+MINUTE('[1]0. DADOS'!$M16)+SECOND('[1]0. DADOS'!$M16)/60</f>
        <v>720</v>
      </c>
      <c r="O76" s="43">
        <f>HOUR('[1]0. DADOS'!$M17)*60+MINUTE('[1]0. DADOS'!$M17)+SECOND('[1]0. DADOS'!$M17)/60</f>
        <v>1080</v>
      </c>
    </row>
    <row r="79" spans="3:15" ht="27.6" customHeight="1" x14ac:dyDescent="0.3">
      <c r="C79" s="34" t="s">
        <v>54</v>
      </c>
    </row>
    <row r="80" spans="3:15" x14ac:dyDescent="0.3">
      <c r="G80" s="1"/>
    </row>
    <row r="81" spans="3:24" ht="15" customHeight="1" x14ac:dyDescent="0.3">
      <c r="C81" s="35" t="s">
        <v>55</v>
      </c>
      <c r="D81" s="7" t="s">
        <v>14</v>
      </c>
      <c r="E81" s="89" t="s">
        <v>56</v>
      </c>
      <c r="F81" s="89" t="s">
        <v>57</v>
      </c>
      <c r="G81" s="89" t="s">
        <v>58</v>
      </c>
      <c r="H81" s="89" t="s">
        <v>59</v>
      </c>
      <c r="I81" s="89" t="s">
        <v>60</v>
      </c>
      <c r="J81" s="89" t="s">
        <v>61</v>
      </c>
      <c r="K81" s="89" t="s">
        <v>62</v>
      </c>
      <c r="L81" s="89" t="s">
        <v>63</v>
      </c>
      <c r="M81" s="89" t="s">
        <v>64</v>
      </c>
      <c r="N81" s="89" t="s">
        <v>65</v>
      </c>
      <c r="O81" s="89" t="s">
        <v>66</v>
      </c>
      <c r="P81" s="89" t="s">
        <v>67</v>
      </c>
      <c r="Q81" s="89" t="s">
        <v>68</v>
      </c>
      <c r="R81" s="89" t="s">
        <v>69</v>
      </c>
      <c r="S81" s="89" t="s">
        <v>70</v>
      </c>
      <c r="T81" s="89" t="s">
        <v>71</v>
      </c>
      <c r="U81" s="89" t="s">
        <v>72</v>
      </c>
      <c r="V81" s="89" t="s">
        <v>73</v>
      </c>
      <c r="W81" s="89" t="s">
        <v>74</v>
      </c>
      <c r="X81" s="89" t="s">
        <v>75</v>
      </c>
    </row>
    <row r="82" spans="3:24" x14ac:dyDescent="0.3">
      <c r="C82" s="77"/>
      <c r="D82" s="90"/>
      <c r="E82" s="91"/>
      <c r="F82" s="91"/>
      <c r="G82" s="92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2"/>
      <c r="V82" s="92"/>
      <c r="W82" s="92"/>
      <c r="X82" s="92"/>
    </row>
    <row r="83" spans="3:24" ht="15.6" x14ac:dyDescent="0.3">
      <c r="C83" s="33" t="s">
        <v>76</v>
      </c>
      <c r="D83" s="93">
        <v>1</v>
      </c>
      <c r="E83" s="94">
        <v>0.23</v>
      </c>
      <c r="F83" s="95">
        <f>10000</f>
        <v>10000</v>
      </c>
      <c r="G83" s="96">
        <v>20</v>
      </c>
      <c r="H83" s="97">
        <f>(I83*10^-3)*(J83*10^-3)*(K83*10^-3)</f>
        <v>55.539000000000001</v>
      </c>
      <c r="I83" s="98">
        <f>2.42*10^3</f>
        <v>2420</v>
      </c>
      <c r="J83" s="98">
        <f>8.5*10^3</f>
        <v>8500</v>
      </c>
      <c r="K83" s="98">
        <f>2.7*10^3</f>
        <v>2700</v>
      </c>
      <c r="L83" s="95">
        <v>157.75</v>
      </c>
      <c r="M83" s="95">
        <v>290</v>
      </c>
      <c r="N83" s="95">
        <v>38</v>
      </c>
      <c r="O83" s="95">
        <v>375</v>
      </c>
      <c r="P83" s="95">
        <v>2080</v>
      </c>
      <c r="Q83" s="95">
        <v>1550</v>
      </c>
      <c r="R83" s="95">
        <v>11900</v>
      </c>
      <c r="S83" s="95">
        <v>0.1</v>
      </c>
      <c r="T83" s="99">
        <v>0.08</v>
      </c>
      <c r="U83" s="100">
        <f>0.9*(L83/E83)</f>
        <v>617.28260869565213</v>
      </c>
      <c r="V83" s="100">
        <f>SUM(M83:R83)</f>
        <v>16233</v>
      </c>
      <c r="W83" s="101">
        <f>V83/(22*12)</f>
        <v>61.488636363636367</v>
      </c>
      <c r="X83" s="101">
        <f>S83+T83</f>
        <v>0.18</v>
      </c>
    </row>
    <row r="84" spans="3:24" ht="15.6" x14ac:dyDescent="0.3">
      <c r="C84" s="24" t="s">
        <v>77</v>
      </c>
      <c r="D84" s="102">
        <v>2</v>
      </c>
      <c r="E84" s="103">
        <v>0.3</v>
      </c>
      <c r="F84" s="104">
        <v>24000</v>
      </c>
      <c r="G84" s="105">
        <v>33</v>
      </c>
      <c r="H84" s="106">
        <f>(I84*10^-3)*(J84*10^-3)*(K84*10^-3)</f>
        <v>86.278399999999991</v>
      </c>
      <c r="I84" s="104">
        <f>2.44*10^3</f>
        <v>2440</v>
      </c>
      <c r="J84" s="104">
        <f>13.6*10^3</f>
        <v>13600</v>
      </c>
      <c r="K84" s="104">
        <f>2.6*10^3</f>
        <v>2600</v>
      </c>
      <c r="L84" s="104">
        <v>178</v>
      </c>
      <c r="M84" s="104">
        <v>290</v>
      </c>
      <c r="N84" s="104">
        <v>49</v>
      </c>
      <c r="O84" s="104">
        <v>420</v>
      </c>
      <c r="P84" s="104">
        <v>2230</v>
      </c>
      <c r="Q84" s="104">
        <v>1900</v>
      </c>
      <c r="R84" s="104">
        <v>11900</v>
      </c>
      <c r="S84" s="104">
        <v>0.12</v>
      </c>
      <c r="T84" s="107">
        <v>0.09</v>
      </c>
      <c r="U84" s="108">
        <f>0.9*(L84/E84)</f>
        <v>534</v>
      </c>
      <c r="V84" s="108">
        <f>SUM(M84:R84)</f>
        <v>16789</v>
      </c>
      <c r="W84" s="109">
        <f>V84/(22*12)</f>
        <v>63.594696969696969</v>
      </c>
      <c r="X84" s="109">
        <f>S84+T84</f>
        <v>0.21</v>
      </c>
    </row>
    <row r="87" spans="3:24" ht="21.6" x14ac:dyDescent="0.3">
      <c r="C87" s="34" t="s">
        <v>78</v>
      </c>
    </row>
    <row r="88" spans="3:24" x14ac:dyDescent="0.3">
      <c r="G88" s="1"/>
    </row>
    <row r="89" spans="3:24" x14ac:dyDescent="0.2">
      <c r="C89" s="6" t="s">
        <v>79</v>
      </c>
      <c r="D89" s="110" t="s">
        <v>14</v>
      </c>
      <c r="E89" s="8" t="s">
        <v>15</v>
      </c>
      <c r="F89" s="9" t="s">
        <v>16</v>
      </c>
      <c r="G89" s="9" t="s">
        <v>17</v>
      </c>
      <c r="H89" s="9" t="s">
        <v>18</v>
      </c>
      <c r="I89" s="9" t="s">
        <v>19</v>
      </c>
      <c r="J89" s="9" t="s">
        <v>20</v>
      </c>
      <c r="K89" s="9" t="s">
        <v>21</v>
      </c>
      <c r="L89" s="9" t="s">
        <v>22</v>
      </c>
      <c r="M89" s="9" t="s">
        <v>23</v>
      </c>
      <c r="N89" s="9" t="s">
        <v>24</v>
      </c>
      <c r="O89" s="9" t="s">
        <v>25</v>
      </c>
      <c r="P89" s="10" t="s">
        <v>26</v>
      </c>
    </row>
    <row r="90" spans="3:24" x14ac:dyDescent="0.2">
      <c r="C90" s="111"/>
      <c r="D90" s="112"/>
      <c r="E90" s="13">
        <v>27</v>
      </c>
      <c r="F90" s="14">
        <v>3</v>
      </c>
      <c r="G90" s="14">
        <v>4</v>
      </c>
      <c r="H90" s="14">
        <v>5</v>
      </c>
      <c r="I90" s="14">
        <v>6</v>
      </c>
      <c r="J90" s="14">
        <v>7</v>
      </c>
      <c r="K90" s="14">
        <v>8</v>
      </c>
      <c r="L90" s="14">
        <v>9</v>
      </c>
      <c r="M90" s="14">
        <v>10</v>
      </c>
      <c r="N90" s="14">
        <v>11</v>
      </c>
      <c r="O90" s="14">
        <v>12</v>
      </c>
      <c r="P90" s="14">
        <v>13</v>
      </c>
    </row>
    <row r="91" spans="3:24" x14ac:dyDescent="0.25">
      <c r="C91" s="15" t="s">
        <v>15</v>
      </c>
      <c r="D91" s="113">
        <v>27</v>
      </c>
      <c r="E91" s="114">
        <f t="shared" ref="E91:P102" si="7">MAX(0,CEILING(E7/$U$83,1)-1)</f>
        <v>0</v>
      </c>
      <c r="F91" s="114">
        <f t="shared" si="7"/>
        <v>1</v>
      </c>
      <c r="G91" s="114">
        <f t="shared" si="7"/>
        <v>1</v>
      </c>
      <c r="H91" s="114">
        <f t="shared" si="7"/>
        <v>1</v>
      </c>
      <c r="I91" s="114">
        <f t="shared" si="7"/>
        <v>1</v>
      </c>
      <c r="J91" s="114">
        <f t="shared" si="7"/>
        <v>1</v>
      </c>
      <c r="K91" s="114">
        <f t="shared" si="7"/>
        <v>0</v>
      </c>
      <c r="L91" s="114">
        <f t="shared" si="7"/>
        <v>0</v>
      </c>
      <c r="M91" s="114">
        <f t="shared" si="7"/>
        <v>0</v>
      </c>
      <c r="N91" s="114">
        <f t="shared" si="7"/>
        <v>0</v>
      </c>
      <c r="O91" s="114">
        <f t="shared" si="7"/>
        <v>0</v>
      </c>
      <c r="P91" s="115">
        <f t="shared" si="7"/>
        <v>0</v>
      </c>
    </row>
    <row r="92" spans="3:24" x14ac:dyDescent="0.25">
      <c r="C92" s="15" t="s">
        <v>16</v>
      </c>
      <c r="D92" s="113">
        <v>3</v>
      </c>
      <c r="E92" s="114">
        <f t="shared" si="7"/>
        <v>1</v>
      </c>
      <c r="F92" s="114">
        <f t="shared" si="7"/>
        <v>0</v>
      </c>
      <c r="G92" s="114">
        <f t="shared" si="7"/>
        <v>0</v>
      </c>
      <c r="H92" s="114">
        <f t="shared" si="7"/>
        <v>0</v>
      </c>
      <c r="I92" s="114">
        <f t="shared" si="7"/>
        <v>0</v>
      </c>
      <c r="J92" s="114">
        <f t="shared" si="7"/>
        <v>0</v>
      </c>
      <c r="K92" s="114">
        <f t="shared" si="7"/>
        <v>0</v>
      </c>
      <c r="L92" s="114">
        <f t="shared" si="7"/>
        <v>1</v>
      </c>
      <c r="M92" s="114">
        <f t="shared" si="7"/>
        <v>0</v>
      </c>
      <c r="N92" s="114">
        <f t="shared" si="7"/>
        <v>1</v>
      </c>
      <c r="O92" s="114">
        <f t="shared" si="7"/>
        <v>1</v>
      </c>
      <c r="P92" s="115">
        <f t="shared" si="7"/>
        <v>1</v>
      </c>
    </row>
    <row r="93" spans="3:24" x14ac:dyDescent="0.25">
      <c r="C93" s="15" t="s">
        <v>17</v>
      </c>
      <c r="D93" s="113">
        <v>4</v>
      </c>
      <c r="E93" s="114">
        <f t="shared" si="7"/>
        <v>1</v>
      </c>
      <c r="F93" s="114">
        <f t="shared" si="7"/>
        <v>0</v>
      </c>
      <c r="G93" s="114">
        <f t="shared" si="7"/>
        <v>0</v>
      </c>
      <c r="H93" s="114">
        <f t="shared" si="7"/>
        <v>0</v>
      </c>
      <c r="I93" s="114">
        <f t="shared" si="7"/>
        <v>0</v>
      </c>
      <c r="J93" s="114">
        <f t="shared" si="7"/>
        <v>1</v>
      </c>
      <c r="K93" s="114">
        <f t="shared" si="7"/>
        <v>1</v>
      </c>
      <c r="L93" s="114">
        <f t="shared" si="7"/>
        <v>1</v>
      </c>
      <c r="M93" s="114">
        <f t="shared" si="7"/>
        <v>0</v>
      </c>
      <c r="N93" s="114">
        <f t="shared" si="7"/>
        <v>1</v>
      </c>
      <c r="O93" s="114">
        <f t="shared" si="7"/>
        <v>1</v>
      </c>
      <c r="P93" s="115">
        <f t="shared" si="7"/>
        <v>1</v>
      </c>
    </row>
    <row r="94" spans="3:24" x14ac:dyDescent="0.25">
      <c r="C94" s="15" t="s">
        <v>18</v>
      </c>
      <c r="D94" s="113">
        <v>5</v>
      </c>
      <c r="E94" s="114">
        <f t="shared" si="7"/>
        <v>1</v>
      </c>
      <c r="F94" s="114">
        <f t="shared" si="7"/>
        <v>0</v>
      </c>
      <c r="G94" s="114">
        <f t="shared" si="7"/>
        <v>0</v>
      </c>
      <c r="H94" s="114">
        <f t="shared" si="7"/>
        <v>0</v>
      </c>
      <c r="I94" s="114">
        <f t="shared" si="7"/>
        <v>0</v>
      </c>
      <c r="J94" s="114">
        <f t="shared" si="7"/>
        <v>0</v>
      </c>
      <c r="K94" s="114">
        <f t="shared" si="7"/>
        <v>0</v>
      </c>
      <c r="L94" s="114">
        <f t="shared" si="7"/>
        <v>0</v>
      </c>
      <c r="M94" s="114">
        <f t="shared" si="7"/>
        <v>0</v>
      </c>
      <c r="N94" s="114">
        <f t="shared" si="7"/>
        <v>1</v>
      </c>
      <c r="O94" s="114">
        <f t="shared" si="7"/>
        <v>1</v>
      </c>
      <c r="P94" s="115">
        <f t="shared" si="7"/>
        <v>1</v>
      </c>
    </row>
    <row r="95" spans="3:24" x14ac:dyDescent="0.25">
      <c r="C95" s="15" t="s">
        <v>19</v>
      </c>
      <c r="D95" s="113">
        <v>6</v>
      </c>
      <c r="E95" s="114">
        <f t="shared" si="7"/>
        <v>1</v>
      </c>
      <c r="F95" s="114">
        <f t="shared" si="7"/>
        <v>0</v>
      </c>
      <c r="G95" s="114">
        <f t="shared" si="7"/>
        <v>0</v>
      </c>
      <c r="H95" s="114">
        <f t="shared" si="7"/>
        <v>0</v>
      </c>
      <c r="I95" s="114">
        <f t="shared" si="7"/>
        <v>0</v>
      </c>
      <c r="J95" s="114">
        <f t="shared" si="7"/>
        <v>0</v>
      </c>
      <c r="K95" s="114">
        <f t="shared" si="7"/>
        <v>0</v>
      </c>
      <c r="L95" s="114">
        <f t="shared" si="7"/>
        <v>0</v>
      </c>
      <c r="M95" s="114">
        <f t="shared" si="7"/>
        <v>0</v>
      </c>
      <c r="N95" s="114">
        <f t="shared" si="7"/>
        <v>1</v>
      </c>
      <c r="O95" s="114">
        <f t="shared" si="7"/>
        <v>1</v>
      </c>
      <c r="P95" s="115">
        <f t="shared" si="7"/>
        <v>1</v>
      </c>
    </row>
    <row r="96" spans="3:24" x14ac:dyDescent="0.25">
      <c r="C96" s="15" t="s">
        <v>20</v>
      </c>
      <c r="D96" s="113">
        <v>7</v>
      </c>
      <c r="E96" s="114">
        <f t="shared" si="7"/>
        <v>1</v>
      </c>
      <c r="F96" s="114">
        <f t="shared" si="7"/>
        <v>0</v>
      </c>
      <c r="G96" s="114">
        <f t="shared" si="7"/>
        <v>1</v>
      </c>
      <c r="H96" s="114">
        <f t="shared" si="7"/>
        <v>0</v>
      </c>
      <c r="I96" s="114">
        <f t="shared" si="7"/>
        <v>0</v>
      </c>
      <c r="J96" s="114">
        <f t="shared" si="7"/>
        <v>0</v>
      </c>
      <c r="K96" s="114">
        <f t="shared" si="7"/>
        <v>0</v>
      </c>
      <c r="L96" s="114">
        <f t="shared" si="7"/>
        <v>0</v>
      </c>
      <c r="M96" s="114">
        <f t="shared" si="7"/>
        <v>0</v>
      </c>
      <c r="N96" s="114">
        <f t="shared" si="7"/>
        <v>1</v>
      </c>
      <c r="O96" s="114">
        <f t="shared" si="7"/>
        <v>1</v>
      </c>
      <c r="P96" s="115">
        <f t="shared" si="7"/>
        <v>1</v>
      </c>
    </row>
    <row r="97" spans="3:16" x14ac:dyDescent="0.25">
      <c r="C97" s="15" t="s">
        <v>21</v>
      </c>
      <c r="D97" s="113">
        <v>8</v>
      </c>
      <c r="E97" s="114">
        <f t="shared" si="7"/>
        <v>0</v>
      </c>
      <c r="F97" s="114">
        <f t="shared" si="7"/>
        <v>0</v>
      </c>
      <c r="G97" s="114">
        <f t="shared" si="7"/>
        <v>1</v>
      </c>
      <c r="H97" s="114">
        <f t="shared" si="7"/>
        <v>0</v>
      </c>
      <c r="I97" s="114">
        <f t="shared" si="7"/>
        <v>0</v>
      </c>
      <c r="J97" s="114">
        <f t="shared" si="7"/>
        <v>0</v>
      </c>
      <c r="K97" s="114">
        <f t="shared" si="7"/>
        <v>0</v>
      </c>
      <c r="L97" s="114">
        <f t="shared" si="7"/>
        <v>0</v>
      </c>
      <c r="M97" s="114">
        <f t="shared" si="7"/>
        <v>0</v>
      </c>
      <c r="N97" s="114">
        <f t="shared" si="7"/>
        <v>1</v>
      </c>
      <c r="O97" s="114">
        <f t="shared" si="7"/>
        <v>0</v>
      </c>
      <c r="P97" s="115">
        <f t="shared" si="7"/>
        <v>1</v>
      </c>
    </row>
    <row r="98" spans="3:16" x14ac:dyDescent="0.25">
      <c r="C98" s="15" t="s">
        <v>22</v>
      </c>
      <c r="D98" s="113">
        <v>9</v>
      </c>
      <c r="E98" s="114">
        <f t="shared" si="7"/>
        <v>0</v>
      </c>
      <c r="F98" s="114">
        <f t="shared" si="7"/>
        <v>1</v>
      </c>
      <c r="G98" s="114">
        <f t="shared" si="7"/>
        <v>1</v>
      </c>
      <c r="H98" s="114">
        <f t="shared" si="7"/>
        <v>0</v>
      </c>
      <c r="I98" s="114">
        <f t="shared" si="7"/>
        <v>0</v>
      </c>
      <c r="J98" s="114">
        <f t="shared" si="7"/>
        <v>0</v>
      </c>
      <c r="K98" s="114">
        <f t="shared" si="7"/>
        <v>0</v>
      </c>
      <c r="L98" s="114">
        <f t="shared" si="7"/>
        <v>0</v>
      </c>
      <c r="M98" s="114">
        <f t="shared" si="7"/>
        <v>0</v>
      </c>
      <c r="N98" s="114">
        <f t="shared" si="7"/>
        <v>1</v>
      </c>
      <c r="O98" s="114">
        <f t="shared" si="7"/>
        <v>0</v>
      </c>
      <c r="P98" s="115">
        <f t="shared" si="7"/>
        <v>1</v>
      </c>
    </row>
    <row r="99" spans="3:16" x14ac:dyDescent="0.25">
      <c r="C99" s="15" t="s">
        <v>23</v>
      </c>
      <c r="D99" s="113">
        <v>10</v>
      </c>
      <c r="E99" s="114">
        <f t="shared" si="7"/>
        <v>0</v>
      </c>
      <c r="F99" s="114">
        <f t="shared" si="7"/>
        <v>0</v>
      </c>
      <c r="G99" s="114">
        <f t="shared" si="7"/>
        <v>0</v>
      </c>
      <c r="H99" s="114">
        <f t="shared" si="7"/>
        <v>0</v>
      </c>
      <c r="I99" s="114">
        <f t="shared" si="7"/>
        <v>0</v>
      </c>
      <c r="J99" s="114">
        <f t="shared" si="7"/>
        <v>0</v>
      </c>
      <c r="K99" s="114">
        <f t="shared" si="7"/>
        <v>0</v>
      </c>
      <c r="L99" s="114">
        <f t="shared" si="7"/>
        <v>0</v>
      </c>
      <c r="M99" s="114">
        <f t="shared" si="7"/>
        <v>0</v>
      </c>
      <c r="N99" s="114">
        <f t="shared" si="7"/>
        <v>0</v>
      </c>
      <c r="O99" s="114">
        <f t="shared" si="7"/>
        <v>0</v>
      </c>
      <c r="P99" s="115">
        <f t="shared" si="7"/>
        <v>1</v>
      </c>
    </row>
    <row r="100" spans="3:16" x14ac:dyDescent="0.25">
      <c r="C100" s="15" t="s">
        <v>24</v>
      </c>
      <c r="D100" s="113">
        <v>11</v>
      </c>
      <c r="E100" s="114">
        <f t="shared" si="7"/>
        <v>0</v>
      </c>
      <c r="F100" s="114">
        <f t="shared" si="7"/>
        <v>1</v>
      </c>
      <c r="G100" s="114">
        <f t="shared" si="7"/>
        <v>1</v>
      </c>
      <c r="H100" s="114">
        <f t="shared" si="7"/>
        <v>1</v>
      </c>
      <c r="I100" s="114">
        <f t="shared" si="7"/>
        <v>1</v>
      </c>
      <c r="J100" s="114">
        <f t="shared" si="7"/>
        <v>1</v>
      </c>
      <c r="K100" s="114">
        <f t="shared" si="7"/>
        <v>1</v>
      </c>
      <c r="L100" s="114">
        <f t="shared" si="7"/>
        <v>1</v>
      </c>
      <c r="M100" s="114">
        <f t="shared" si="7"/>
        <v>0</v>
      </c>
      <c r="N100" s="114">
        <f t="shared" si="7"/>
        <v>0</v>
      </c>
      <c r="O100" s="114">
        <f t="shared" si="7"/>
        <v>0</v>
      </c>
      <c r="P100" s="115">
        <f t="shared" si="7"/>
        <v>0</v>
      </c>
    </row>
    <row r="101" spans="3:16" x14ac:dyDescent="0.25">
      <c r="C101" s="15" t="s">
        <v>25</v>
      </c>
      <c r="D101" s="113">
        <v>12</v>
      </c>
      <c r="E101" s="114">
        <f t="shared" si="7"/>
        <v>0</v>
      </c>
      <c r="F101" s="114">
        <f t="shared" si="7"/>
        <v>1</v>
      </c>
      <c r="G101" s="114">
        <f t="shared" si="7"/>
        <v>1</v>
      </c>
      <c r="H101" s="114">
        <f t="shared" si="7"/>
        <v>1</v>
      </c>
      <c r="I101" s="114">
        <f t="shared" si="7"/>
        <v>1</v>
      </c>
      <c r="J101" s="114">
        <f t="shared" si="7"/>
        <v>1</v>
      </c>
      <c r="K101" s="114">
        <f t="shared" si="7"/>
        <v>0</v>
      </c>
      <c r="L101" s="114">
        <f t="shared" si="7"/>
        <v>0</v>
      </c>
      <c r="M101" s="114">
        <f t="shared" si="7"/>
        <v>0</v>
      </c>
      <c r="N101" s="114">
        <f t="shared" si="7"/>
        <v>0</v>
      </c>
      <c r="O101" s="114">
        <f t="shared" si="7"/>
        <v>0</v>
      </c>
      <c r="P101" s="115">
        <f t="shared" si="7"/>
        <v>0</v>
      </c>
    </row>
    <row r="102" spans="3:16" x14ac:dyDescent="0.25">
      <c r="C102" s="24" t="s">
        <v>26</v>
      </c>
      <c r="D102" s="116">
        <v>13</v>
      </c>
      <c r="E102" s="117">
        <f t="shared" si="7"/>
        <v>0</v>
      </c>
      <c r="F102" s="117">
        <f t="shared" si="7"/>
        <v>1</v>
      </c>
      <c r="G102" s="117">
        <f t="shared" si="7"/>
        <v>1</v>
      </c>
      <c r="H102" s="117">
        <f t="shared" si="7"/>
        <v>1</v>
      </c>
      <c r="I102" s="117">
        <f t="shared" si="7"/>
        <v>1</v>
      </c>
      <c r="J102" s="117">
        <f t="shared" si="7"/>
        <v>1</v>
      </c>
      <c r="K102" s="117">
        <f t="shared" si="7"/>
        <v>1</v>
      </c>
      <c r="L102" s="117">
        <f t="shared" si="7"/>
        <v>1</v>
      </c>
      <c r="M102" s="117">
        <f t="shared" si="7"/>
        <v>1</v>
      </c>
      <c r="N102" s="117">
        <f t="shared" si="7"/>
        <v>0</v>
      </c>
      <c r="O102" s="117">
        <f t="shared" si="7"/>
        <v>0</v>
      </c>
      <c r="P102" s="118">
        <f t="shared" si="7"/>
        <v>0</v>
      </c>
    </row>
    <row r="105" spans="3:16" ht="21.6" x14ac:dyDescent="0.3">
      <c r="C105" s="34" t="s">
        <v>80</v>
      </c>
    </row>
    <row r="106" spans="3:16" x14ac:dyDescent="0.3">
      <c r="G106" s="1"/>
    </row>
    <row r="107" spans="3:16" x14ac:dyDescent="0.2">
      <c r="C107" s="6" t="s">
        <v>77</v>
      </c>
      <c r="D107" s="110" t="s">
        <v>14</v>
      </c>
      <c r="E107" s="8" t="s">
        <v>15</v>
      </c>
      <c r="F107" s="9" t="s">
        <v>16</v>
      </c>
      <c r="G107" s="9" t="s">
        <v>17</v>
      </c>
      <c r="H107" s="9" t="s">
        <v>18</v>
      </c>
      <c r="I107" s="9" t="s">
        <v>19</v>
      </c>
      <c r="J107" s="9" t="s">
        <v>20</v>
      </c>
      <c r="K107" s="9" t="s">
        <v>21</v>
      </c>
      <c r="L107" s="9" t="s">
        <v>22</v>
      </c>
      <c r="M107" s="9" t="s">
        <v>23</v>
      </c>
      <c r="N107" s="9" t="s">
        <v>24</v>
      </c>
      <c r="O107" s="9" t="s">
        <v>25</v>
      </c>
      <c r="P107" s="10" t="s">
        <v>26</v>
      </c>
    </row>
    <row r="108" spans="3:16" x14ac:dyDescent="0.2">
      <c r="C108" s="111"/>
      <c r="D108" s="112"/>
      <c r="E108" s="13">
        <v>27</v>
      </c>
      <c r="F108" s="14">
        <v>3</v>
      </c>
      <c r="G108" s="14">
        <v>4</v>
      </c>
      <c r="H108" s="14">
        <v>5</v>
      </c>
      <c r="I108" s="14">
        <v>6</v>
      </c>
      <c r="J108" s="14">
        <v>7</v>
      </c>
      <c r="K108" s="14">
        <v>8</v>
      </c>
      <c r="L108" s="14">
        <v>9</v>
      </c>
      <c r="M108" s="14">
        <v>10</v>
      </c>
      <c r="N108" s="14">
        <v>11</v>
      </c>
      <c r="O108" s="14">
        <v>12</v>
      </c>
      <c r="P108" s="14">
        <v>13</v>
      </c>
    </row>
    <row r="109" spans="3:16" x14ac:dyDescent="0.25">
      <c r="C109" s="15" t="s">
        <v>15</v>
      </c>
      <c r="D109" s="113">
        <v>27</v>
      </c>
      <c r="E109" s="114">
        <f t="shared" ref="E109:P120" si="8">MAX(0,CEILING(E7/$U$84,1)-1)</f>
        <v>0</v>
      </c>
      <c r="F109" s="114">
        <f t="shared" si="8"/>
        <v>1</v>
      </c>
      <c r="G109" s="114">
        <f t="shared" si="8"/>
        <v>1</v>
      </c>
      <c r="H109" s="114">
        <f t="shared" si="8"/>
        <v>1</v>
      </c>
      <c r="I109" s="114">
        <f t="shared" si="8"/>
        <v>1</v>
      </c>
      <c r="J109" s="114">
        <f t="shared" si="8"/>
        <v>1</v>
      </c>
      <c r="K109" s="114">
        <f t="shared" si="8"/>
        <v>1</v>
      </c>
      <c r="L109" s="114">
        <f t="shared" si="8"/>
        <v>1</v>
      </c>
      <c r="M109" s="114">
        <f t="shared" si="8"/>
        <v>0</v>
      </c>
      <c r="N109" s="114">
        <f t="shared" si="8"/>
        <v>0</v>
      </c>
      <c r="O109" s="114">
        <f t="shared" si="8"/>
        <v>0</v>
      </c>
      <c r="P109" s="115">
        <f t="shared" si="8"/>
        <v>0</v>
      </c>
    </row>
    <row r="110" spans="3:16" x14ac:dyDescent="0.25">
      <c r="C110" s="15" t="s">
        <v>16</v>
      </c>
      <c r="D110" s="113">
        <v>3</v>
      </c>
      <c r="E110" s="114">
        <f t="shared" si="8"/>
        <v>1</v>
      </c>
      <c r="F110" s="114">
        <f t="shared" si="8"/>
        <v>0</v>
      </c>
      <c r="G110" s="114">
        <f t="shared" si="8"/>
        <v>0</v>
      </c>
      <c r="H110" s="114">
        <f t="shared" si="8"/>
        <v>0</v>
      </c>
      <c r="I110" s="114">
        <f t="shared" si="8"/>
        <v>0</v>
      </c>
      <c r="J110" s="114">
        <f t="shared" si="8"/>
        <v>0</v>
      </c>
      <c r="K110" s="114">
        <f t="shared" si="8"/>
        <v>0</v>
      </c>
      <c r="L110" s="114">
        <f t="shared" si="8"/>
        <v>1</v>
      </c>
      <c r="M110" s="114">
        <f t="shared" si="8"/>
        <v>0</v>
      </c>
      <c r="N110" s="114">
        <f t="shared" si="8"/>
        <v>1</v>
      </c>
      <c r="O110" s="114">
        <f t="shared" si="8"/>
        <v>1</v>
      </c>
      <c r="P110" s="115">
        <f t="shared" si="8"/>
        <v>2</v>
      </c>
    </row>
    <row r="111" spans="3:16" x14ac:dyDescent="0.25">
      <c r="C111" s="15" t="s">
        <v>17</v>
      </c>
      <c r="D111" s="113">
        <v>4</v>
      </c>
      <c r="E111" s="114">
        <f t="shared" si="8"/>
        <v>1</v>
      </c>
      <c r="F111" s="114">
        <f t="shared" si="8"/>
        <v>0</v>
      </c>
      <c r="G111" s="114">
        <f t="shared" si="8"/>
        <v>0</v>
      </c>
      <c r="H111" s="114">
        <f t="shared" si="8"/>
        <v>0</v>
      </c>
      <c r="I111" s="114">
        <f t="shared" si="8"/>
        <v>0</v>
      </c>
      <c r="J111" s="114">
        <f t="shared" si="8"/>
        <v>1</v>
      </c>
      <c r="K111" s="114">
        <f t="shared" si="8"/>
        <v>1</v>
      </c>
      <c r="L111" s="114">
        <f t="shared" si="8"/>
        <v>1</v>
      </c>
      <c r="M111" s="114">
        <f t="shared" si="8"/>
        <v>1</v>
      </c>
      <c r="N111" s="114">
        <f t="shared" si="8"/>
        <v>1</v>
      </c>
      <c r="O111" s="114">
        <f t="shared" si="8"/>
        <v>1</v>
      </c>
      <c r="P111" s="115">
        <f t="shared" si="8"/>
        <v>2</v>
      </c>
    </row>
    <row r="112" spans="3:16" x14ac:dyDescent="0.25">
      <c r="C112" s="15" t="s">
        <v>18</v>
      </c>
      <c r="D112" s="113">
        <v>5</v>
      </c>
      <c r="E112" s="114">
        <f t="shared" si="8"/>
        <v>1</v>
      </c>
      <c r="F112" s="114">
        <f t="shared" si="8"/>
        <v>0</v>
      </c>
      <c r="G112" s="114">
        <f t="shared" si="8"/>
        <v>0</v>
      </c>
      <c r="H112" s="114">
        <f t="shared" si="8"/>
        <v>0</v>
      </c>
      <c r="I112" s="114">
        <f t="shared" si="8"/>
        <v>0</v>
      </c>
      <c r="J112" s="114">
        <f t="shared" si="8"/>
        <v>0</v>
      </c>
      <c r="K112" s="114">
        <f t="shared" si="8"/>
        <v>0</v>
      </c>
      <c r="L112" s="114">
        <f t="shared" si="8"/>
        <v>1</v>
      </c>
      <c r="M112" s="114">
        <f t="shared" si="8"/>
        <v>0</v>
      </c>
      <c r="N112" s="114">
        <f t="shared" si="8"/>
        <v>1</v>
      </c>
      <c r="O112" s="114">
        <f t="shared" si="8"/>
        <v>1</v>
      </c>
      <c r="P112" s="115">
        <f t="shared" si="8"/>
        <v>2</v>
      </c>
    </row>
    <row r="113" spans="3:16" x14ac:dyDescent="0.25">
      <c r="C113" s="15" t="s">
        <v>19</v>
      </c>
      <c r="D113" s="113">
        <v>6</v>
      </c>
      <c r="E113" s="114">
        <f t="shared" si="8"/>
        <v>1</v>
      </c>
      <c r="F113" s="114">
        <f t="shared" si="8"/>
        <v>0</v>
      </c>
      <c r="G113" s="114">
        <f t="shared" si="8"/>
        <v>0</v>
      </c>
      <c r="H113" s="114">
        <f t="shared" si="8"/>
        <v>0</v>
      </c>
      <c r="I113" s="114">
        <f t="shared" si="8"/>
        <v>0</v>
      </c>
      <c r="J113" s="114">
        <f t="shared" si="8"/>
        <v>0</v>
      </c>
      <c r="K113" s="114">
        <f t="shared" si="8"/>
        <v>0</v>
      </c>
      <c r="L113" s="114">
        <f t="shared" si="8"/>
        <v>1</v>
      </c>
      <c r="M113" s="114">
        <f t="shared" si="8"/>
        <v>1</v>
      </c>
      <c r="N113" s="114">
        <f t="shared" si="8"/>
        <v>1</v>
      </c>
      <c r="O113" s="114">
        <f t="shared" si="8"/>
        <v>1</v>
      </c>
      <c r="P113" s="115">
        <f t="shared" si="8"/>
        <v>2</v>
      </c>
    </row>
    <row r="114" spans="3:16" x14ac:dyDescent="0.25">
      <c r="C114" s="15" t="s">
        <v>20</v>
      </c>
      <c r="D114" s="113">
        <v>7</v>
      </c>
      <c r="E114" s="114">
        <f t="shared" si="8"/>
        <v>1</v>
      </c>
      <c r="F114" s="114">
        <f t="shared" si="8"/>
        <v>0</v>
      </c>
      <c r="G114" s="114">
        <f t="shared" si="8"/>
        <v>1</v>
      </c>
      <c r="H114" s="114">
        <f t="shared" si="8"/>
        <v>0</v>
      </c>
      <c r="I114" s="114">
        <f t="shared" si="8"/>
        <v>0</v>
      </c>
      <c r="J114" s="114">
        <f t="shared" si="8"/>
        <v>0</v>
      </c>
      <c r="K114" s="114">
        <f t="shared" si="8"/>
        <v>0</v>
      </c>
      <c r="L114" s="114">
        <f t="shared" si="8"/>
        <v>0</v>
      </c>
      <c r="M114" s="114">
        <f t="shared" si="8"/>
        <v>0</v>
      </c>
      <c r="N114" s="114">
        <f t="shared" si="8"/>
        <v>1</v>
      </c>
      <c r="O114" s="114">
        <f t="shared" si="8"/>
        <v>1</v>
      </c>
      <c r="P114" s="115">
        <f t="shared" si="8"/>
        <v>1</v>
      </c>
    </row>
    <row r="115" spans="3:16" x14ac:dyDescent="0.25">
      <c r="C115" s="15" t="s">
        <v>21</v>
      </c>
      <c r="D115" s="113">
        <v>8</v>
      </c>
      <c r="E115" s="114">
        <f t="shared" si="8"/>
        <v>1</v>
      </c>
      <c r="F115" s="114">
        <f t="shared" si="8"/>
        <v>0</v>
      </c>
      <c r="G115" s="114">
        <f t="shared" si="8"/>
        <v>1</v>
      </c>
      <c r="H115" s="114">
        <f t="shared" si="8"/>
        <v>0</v>
      </c>
      <c r="I115" s="114">
        <f t="shared" si="8"/>
        <v>0</v>
      </c>
      <c r="J115" s="114">
        <f t="shared" si="8"/>
        <v>0</v>
      </c>
      <c r="K115" s="114">
        <f t="shared" si="8"/>
        <v>0</v>
      </c>
      <c r="L115" s="114">
        <f t="shared" si="8"/>
        <v>0</v>
      </c>
      <c r="M115" s="114">
        <f t="shared" si="8"/>
        <v>0</v>
      </c>
      <c r="N115" s="114">
        <f t="shared" si="8"/>
        <v>1</v>
      </c>
      <c r="O115" s="114">
        <f t="shared" si="8"/>
        <v>1</v>
      </c>
      <c r="P115" s="115">
        <f t="shared" si="8"/>
        <v>1</v>
      </c>
    </row>
    <row r="116" spans="3:16" x14ac:dyDescent="0.25">
      <c r="C116" s="15" t="s">
        <v>22</v>
      </c>
      <c r="D116" s="113">
        <v>9</v>
      </c>
      <c r="E116" s="114">
        <f t="shared" si="8"/>
        <v>1</v>
      </c>
      <c r="F116" s="114">
        <f t="shared" si="8"/>
        <v>1</v>
      </c>
      <c r="G116" s="114">
        <f t="shared" si="8"/>
        <v>1</v>
      </c>
      <c r="H116" s="114">
        <f t="shared" si="8"/>
        <v>1</v>
      </c>
      <c r="I116" s="114">
        <f t="shared" si="8"/>
        <v>1</v>
      </c>
      <c r="J116" s="114">
        <f t="shared" si="8"/>
        <v>0</v>
      </c>
      <c r="K116" s="114">
        <f t="shared" si="8"/>
        <v>0</v>
      </c>
      <c r="L116" s="114">
        <f t="shared" si="8"/>
        <v>0</v>
      </c>
      <c r="M116" s="114">
        <f t="shared" si="8"/>
        <v>0</v>
      </c>
      <c r="N116" s="114">
        <f t="shared" si="8"/>
        <v>1</v>
      </c>
      <c r="O116" s="114">
        <f t="shared" si="8"/>
        <v>1</v>
      </c>
      <c r="P116" s="115">
        <f t="shared" si="8"/>
        <v>1</v>
      </c>
    </row>
    <row r="117" spans="3:16" x14ac:dyDescent="0.25">
      <c r="C117" s="15" t="s">
        <v>23</v>
      </c>
      <c r="D117" s="113">
        <v>10</v>
      </c>
      <c r="E117" s="114">
        <f t="shared" si="8"/>
        <v>0</v>
      </c>
      <c r="F117" s="114">
        <f t="shared" si="8"/>
        <v>0</v>
      </c>
      <c r="G117" s="114">
        <f t="shared" si="8"/>
        <v>1</v>
      </c>
      <c r="H117" s="114">
        <f t="shared" si="8"/>
        <v>0</v>
      </c>
      <c r="I117" s="114">
        <f t="shared" si="8"/>
        <v>1</v>
      </c>
      <c r="J117" s="114">
        <f t="shared" si="8"/>
        <v>0</v>
      </c>
      <c r="K117" s="114">
        <f t="shared" si="8"/>
        <v>0</v>
      </c>
      <c r="L117" s="114">
        <f t="shared" si="8"/>
        <v>0</v>
      </c>
      <c r="M117" s="114">
        <f t="shared" si="8"/>
        <v>0</v>
      </c>
      <c r="N117" s="114">
        <f t="shared" si="8"/>
        <v>0</v>
      </c>
      <c r="O117" s="114">
        <f t="shared" si="8"/>
        <v>0</v>
      </c>
      <c r="P117" s="115">
        <f t="shared" si="8"/>
        <v>1</v>
      </c>
    </row>
    <row r="118" spans="3:16" x14ac:dyDescent="0.25">
      <c r="C118" s="15" t="s">
        <v>24</v>
      </c>
      <c r="D118" s="113">
        <v>11</v>
      </c>
      <c r="E118" s="114">
        <f t="shared" si="8"/>
        <v>0</v>
      </c>
      <c r="F118" s="114">
        <f t="shared" si="8"/>
        <v>1</v>
      </c>
      <c r="G118" s="114">
        <f t="shared" si="8"/>
        <v>1</v>
      </c>
      <c r="H118" s="114">
        <f t="shared" si="8"/>
        <v>1</v>
      </c>
      <c r="I118" s="114">
        <f t="shared" si="8"/>
        <v>1</v>
      </c>
      <c r="J118" s="114">
        <f t="shared" si="8"/>
        <v>1</v>
      </c>
      <c r="K118" s="114">
        <f t="shared" si="8"/>
        <v>1</v>
      </c>
      <c r="L118" s="114">
        <f t="shared" si="8"/>
        <v>1</v>
      </c>
      <c r="M118" s="114">
        <f t="shared" si="8"/>
        <v>0</v>
      </c>
      <c r="N118" s="114">
        <f t="shared" si="8"/>
        <v>0</v>
      </c>
      <c r="O118" s="114">
        <f t="shared" si="8"/>
        <v>0</v>
      </c>
      <c r="P118" s="115">
        <f t="shared" si="8"/>
        <v>0</v>
      </c>
    </row>
    <row r="119" spans="3:16" x14ac:dyDescent="0.25">
      <c r="C119" s="15" t="s">
        <v>25</v>
      </c>
      <c r="D119" s="113">
        <v>12</v>
      </c>
      <c r="E119" s="114">
        <f t="shared" si="8"/>
        <v>0</v>
      </c>
      <c r="F119" s="114">
        <f t="shared" si="8"/>
        <v>1</v>
      </c>
      <c r="G119" s="114">
        <f t="shared" si="8"/>
        <v>1</v>
      </c>
      <c r="H119" s="114">
        <f t="shared" si="8"/>
        <v>1</v>
      </c>
      <c r="I119" s="114">
        <f t="shared" si="8"/>
        <v>1</v>
      </c>
      <c r="J119" s="114">
        <f t="shared" si="8"/>
        <v>1</v>
      </c>
      <c r="K119" s="114">
        <f t="shared" si="8"/>
        <v>1</v>
      </c>
      <c r="L119" s="114">
        <f t="shared" si="8"/>
        <v>1</v>
      </c>
      <c r="M119" s="114">
        <f t="shared" si="8"/>
        <v>0</v>
      </c>
      <c r="N119" s="114">
        <f t="shared" si="8"/>
        <v>0</v>
      </c>
      <c r="O119" s="114">
        <f t="shared" si="8"/>
        <v>0</v>
      </c>
      <c r="P119" s="115">
        <f t="shared" si="8"/>
        <v>0</v>
      </c>
    </row>
    <row r="120" spans="3:16" x14ac:dyDescent="0.25">
      <c r="C120" s="24" t="s">
        <v>26</v>
      </c>
      <c r="D120" s="116">
        <v>13</v>
      </c>
      <c r="E120" s="117">
        <f t="shared" si="8"/>
        <v>0</v>
      </c>
      <c r="F120" s="117">
        <f t="shared" si="8"/>
        <v>2</v>
      </c>
      <c r="G120" s="117">
        <f t="shared" si="8"/>
        <v>2</v>
      </c>
      <c r="H120" s="117">
        <f t="shared" si="8"/>
        <v>2</v>
      </c>
      <c r="I120" s="117">
        <f t="shared" si="8"/>
        <v>2</v>
      </c>
      <c r="J120" s="117">
        <f t="shared" si="8"/>
        <v>1</v>
      </c>
      <c r="K120" s="117">
        <f t="shared" si="8"/>
        <v>1</v>
      </c>
      <c r="L120" s="117">
        <f t="shared" si="8"/>
        <v>1</v>
      </c>
      <c r="M120" s="117">
        <f t="shared" si="8"/>
        <v>1</v>
      </c>
      <c r="N120" s="117">
        <f t="shared" si="8"/>
        <v>0</v>
      </c>
      <c r="O120" s="117">
        <f t="shared" si="8"/>
        <v>0</v>
      </c>
      <c r="P120" s="118">
        <f t="shared" si="8"/>
        <v>0</v>
      </c>
    </row>
    <row r="134" spans="3:3" x14ac:dyDescent="0.3">
      <c r="C134" s="119"/>
    </row>
  </sheetData>
  <mergeCells count="50">
    <mergeCell ref="C107:C108"/>
    <mergeCell ref="D107:D108"/>
    <mergeCell ref="U81:U82"/>
    <mergeCell ref="V81:V82"/>
    <mergeCell ref="W81:W82"/>
    <mergeCell ref="X81:X82"/>
    <mergeCell ref="C89:C90"/>
    <mergeCell ref="D89:D90"/>
    <mergeCell ref="O81:O82"/>
    <mergeCell ref="P81:P82"/>
    <mergeCell ref="Q81:Q82"/>
    <mergeCell ref="R81:R82"/>
    <mergeCell ref="S81:S82"/>
    <mergeCell ref="T81:T82"/>
    <mergeCell ref="I81:I82"/>
    <mergeCell ref="J81:J82"/>
    <mergeCell ref="K81:K82"/>
    <mergeCell ref="L81:L82"/>
    <mergeCell ref="M81:M82"/>
    <mergeCell ref="N81:N82"/>
    <mergeCell ref="C81:C82"/>
    <mergeCell ref="D81:D82"/>
    <mergeCell ref="E81:E82"/>
    <mergeCell ref="F81:F82"/>
    <mergeCell ref="G81:G82"/>
    <mergeCell ref="H81:H82"/>
    <mergeCell ref="C66:E66"/>
    <mergeCell ref="C67:E67"/>
    <mergeCell ref="C68:E68"/>
    <mergeCell ref="C73:D74"/>
    <mergeCell ref="C75:D75"/>
    <mergeCell ref="C76:D76"/>
    <mergeCell ref="C51:D51"/>
    <mergeCell ref="C53:E53"/>
    <mergeCell ref="C60:D61"/>
    <mergeCell ref="C62:D62"/>
    <mergeCell ref="C63:D63"/>
    <mergeCell ref="C64:D64"/>
    <mergeCell ref="C45:D45"/>
    <mergeCell ref="C46:D46"/>
    <mergeCell ref="C47:D47"/>
    <mergeCell ref="C48:D48"/>
    <mergeCell ref="C49:D49"/>
    <mergeCell ref="C50:D50"/>
    <mergeCell ref="C5:C6"/>
    <mergeCell ref="D5:D6"/>
    <mergeCell ref="D20:K20"/>
    <mergeCell ref="C25:C26"/>
    <mergeCell ref="D25:D26"/>
    <mergeCell ref="C43:D4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BotãoVoltar_Click">
                <anchor moveWithCells="1" sizeWithCells="1">
                  <from>
                    <xdr:col>7</xdr:col>
                    <xdr:colOff>1501140</xdr:colOff>
                    <xdr:row>1</xdr:row>
                    <xdr:rowOff>99060</xdr:rowOff>
                  </from>
                  <to>
                    <xdr:col>9</xdr:col>
                    <xdr:colOff>7620</xdr:colOff>
                    <xdr:row>2</xdr:row>
                    <xdr:rowOff>45720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Bebiana Santos (1201130)</dc:creator>
  <cp:lastModifiedBy>Bebiana Santos (1201130)</cp:lastModifiedBy>
  <dcterms:created xsi:type="dcterms:W3CDTF">2026-05-24T03:08:49Z</dcterms:created>
  <dcterms:modified xsi:type="dcterms:W3CDTF">2026-05-24T03:09:01Z</dcterms:modified>
</cp:coreProperties>
</file>